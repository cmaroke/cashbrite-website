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ad7767e07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c2e341a92014010"/>
    <x:sheet xmlns:r="http://schemas.openxmlformats.org/officeDocument/2006/relationships" name="Monthly Budget" sheetId="2" r:id="R8e30c2b48f794fce"/>
    <x:sheet xmlns:r="http://schemas.openxmlformats.org/officeDocument/2006/relationships" name="Spending Tracker" sheetId="3" r:id="R9008b89a860145b5"/>
    <x:sheet xmlns:r="http://schemas.openxmlformats.org/officeDocument/2006/relationships" name="Savings Goals" sheetId="4" r:id="R8e3132ea7b6342c3"/>
    <x:sheet xmlns:r="http://schemas.openxmlformats.org/officeDocument/2006/relationships" name="Dashboard" sheetId="5" r:id="R1b14507ff129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£#,##0"/>
    <x:numFmt numFmtId="201" formatCode="dd mmm yyyy"/>
    <x:numFmt numFmtId="202" formatCode="0%"/>
  </x:numFmts>
  <x:fonts count="10">
    <x:font>
      <x:sz val="11"/>
      <x:name val="Carlito"/>
    </x:font>
    <x:font>
      <x:b/>
      <x:sz val="20"/>
      <x:color rgb="FFFFFFFF"/>
      <x:name val="Carlito"/>
    </x:font>
    <x:font>
      <x:sz val="11"/>
      <x:color rgb="FF102536"/>
      <x:name val="Carlito"/>
    </x:font>
    <x:font>
      <x:b/>
      <x:sz val="12"/>
      <x:color rgb="FF071D2B"/>
      <x:name val="Carlito"/>
    </x:font>
    <x:font>
      <x:b/>
      <x:sz val="11"/>
      <x:color rgb="FF66D9BD"/>
      <x:name val="Carlito"/>
    </x:font>
    <x:font>
      <x:b/>
      <x:sz val="11"/>
      <x:color rgb="FFFFFFFF"/>
      <x:name val="Carlito"/>
    </x:font>
    <x:font>
      <x:b/>
      <x:sz val="11"/>
      <x:color rgb="FF071D2B"/>
      <x:name val="Carlito"/>
    </x:font>
    <x:font>
      <x:i/>
      <x:sz val="11"/>
      <x:color rgb="FF071D2B"/>
      <x:name val="Carlito"/>
    </x:font>
    <x:font>
      <x:b/>
      <x:sz val="12"/>
      <x:color rgb="FFFFFFFF"/>
      <x:name val="Carlito"/>
    </x:font>
    <x:font>
      <x:b/>
      <x:sz val="18"/>
      <x:color rgb="FF071D2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1D2B"/>
      </x:patternFill>
    </x:fill>
    <x:fill>
      <x:patternFill patternType="solid">
        <x:fgColor rgb="FFFBF7EC"/>
      </x:patternFill>
    </x:fill>
    <x:fill>
      <x:patternFill patternType="solid">
        <x:fgColor rgb="FF66D9BD"/>
      </x:patternFill>
    </x:fill>
    <x:fill>
      <x:patternFill patternType="solid">
        <x:fgColor rgb="FFFFFFFF"/>
      </x:patternFill>
    </x:fill>
    <x:fill>
      <x:patternFill patternType="solid">
        <x:fgColor rgb="FFDFF8EF"/>
      </x:patternFill>
    </x:fill>
    <x:fill>
      <x:patternFill patternType="solid">
        <x:fgColor rgb="FFF1FFF9"/>
      </x:patternFill>
    </x:fill>
    <x:fill>
      <x:patternFill patternType="solid">
        <x:fgColor rgb="FFE6FAF3"/>
      </x:patternFill>
    </x:fill>
  </x:fills>
  <x:borders count="14">
    <x:border/>
    <x:border>
      <x:left style="thin">
        <x:color rgb="FFDDEBE5"/>
      </x:left>
      <x:right style="thin">
        <x:color rgb="FFDDEBE5"/>
      </x:right>
      <x:top style="thin">
        <x:color rgb="FFDDEBE5"/>
      </x:top>
      <x:bottom style="thin">
        <x:color rgb="FFDDEBE5"/>
      </x:bottom>
    </x:border>
    <x:border>
      <x:left style="thin">
        <x:color rgb="FFDDEBE5"/>
      </x:left>
      <x:top style="thin">
        <x:color rgb="FFDDEBE5"/>
      </x:top>
      <x:bottom style="thin">
        <x:color rgb="FFDDEBE5"/>
      </x:bottom>
    </x:border>
    <x:border>
      <x:top style="thin">
        <x:color rgb="FFDDEBE5"/>
      </x:top>
      <x:bottom style="thin">
        <x:color rgb="FFDDEBE5"/>
      </x:bottom>
    </x:border>
    <x:border>
      <x:right style="thin">
        <x:color rgb="FFDDEBE5"/>
      </x:right>
      <x:top style="thin">
        <x:color rgb="FFDDEBE5"/>
      </x:top>
      <x:bottom style="thin">
        <x:color rgb="FFDDEBE5"/>
      </x:bottom>
    </x:border>
    <x:border>
      <x:left style="thin">
        <x:color rgb="FF071D2B"/>
      </x:left>
      <x:top style="thin">
        <x:color rgb="FF071D2B"/>
      </x:top>
      <x:bottom style="thin">
        <x:color rgb="FF071D2B"/>
      </x:bottom>
    </x:border>
    <x:border>
      <x:top style="thin">
        <x:color rgb="FF071D2B"/>
      </x:top>
      <x:bottom style="thin">
        <x:color rgb="FF071D2B"/>
      </x:bottom>
    </x:border>
    <x:border>
      <x:right style="thin">
        <x:color rgb="FF071D2B"/>
      </x:right>
      <x:top style="thin">
        <x:color rgb="FF071D2B"/>
      </x:top>
      <x:bottom style="thin">
        <x:color rgb="FF071D2B"/>
      </x:bottom>
    </x:border>
    <x:border>
      <x:left style="thin">
        <x:color rgb="FF66D9BD"/>
      </x:left>
      <x:top style="thin">
        <x:color rgb="FF66D9BD"/>
      </x:top>
    </x:border>
    <x:border>
      <x:top style="thin">
        <x:color rgb="FF66D9BD"/>
      </x:top>
    </x:border>
    <x:border>
      <x:right style="thin">
        <x:color rgb="FF66D9BD"/>
      </x:right>
      <x:top style="thin">
        <x:color rgb="FF66D9BD"/>
      </x:top>
    </x:border>
    <x:border>
      <x:left style="thin">
        <x:color rgb="FF66D9BD"/>
      </x:left>
      <x:bottom style="thin">
        <x:color rgb="FF66D9BD"/>
      </x:bottom>
    </x:border>
    <x:border>
      <x:bottom style="thin">
        <x:color rgb="FF66D9BD"/>
      </x:bottom>
    </x:border>
    <x:border>
      <x:right style="thin">
        <x:color rgb="FF66D9BD"/>
      </x:right>
      <x:bottom style="thin">
        <x:color rgb="FF66D9BD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5" xfId="0" applyNumberFormat="1" applyFont="1" applyFill="1" applyBorder="1" applyAlignment="1">
      <x:alignment horizontal="center"/>
    </x:xf>
    <x:xf numFmtId="0" fontId="5" fillId="2" borderId="6" xfId="0" applyNumberFormat="1" applyFont="1" applyFill="1" applyBorder="1" applyAlignment="1">
      <x:alignment horizontal="center"/>
    </x:xf>
    <x:xf numFmtId="0" fontId="5" fillId="2" borderId="7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200" fontId="3" fillId="4" borderId="1" xfId="0" applyNumberFormat="1" applyFont="1" applyFill="1" applyBorder="1"/>
    <x:xf numFmtId="200" fontId="0" fillId="3" borderId="1" xfId="0" applyNumberFormat="1" applyFont="1" applyFill="1" applyBorder="1"/>
    <x:xf numFmtId="200" fontId="3" fillId="3" borderId="1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0" fontId="6" fillId="0" borderId="1" xfId="0" applyNumberFormat="1" applyFont="1" applyFill="1" applyBorder="1"/>
    <x:xf numFmtId="201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0" fontId="7" fillId="8" borderId="13" xfId="0" applyNumberFormat="1" applyFont="1" applyFill="1" applyBorder="1" applyAlignment="1">
      <x:alignment wrapText="1"/>
    </x:xf>
    <x:xf numFmtId="202" fontId="0" fillId="5" borderId="1" xfId="0" applyNumberFormat="1" applyFont="1" applyFill="1" applyBorder="1"/>
    <x:xf numFmtId="0" fontId="0" fillId="3" borderId="1" xfId="0" applyNumberFormat="1" applyFont="1" applyFill="1" applyBorder="1"/>
    <x:xf numFmtId="0" fontId="8" fillId="2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/>
    <x:xf numFmtId="200" fontId="9" fillId="5" borderId="4" xfId="0" applyNumberFormat="1" applyFont="1" applyFill="1" applyBorder="1" applyAlignment="1">
      <x:alignment horizontal="right"/>
    </x:xf>
    <x:xf numFmtId="202" fontId="9" fillId="5" borderId="0" xfId="0" applyNumberFormat="1" applyFont="1" applyFill="1" applyBorder="1" applyAlignment="1">
      <x:alignment horizontal="right"/>
    </x:xf>
    <x:xf numFmtId="202" fontId="9" fillId="5" borderId="4" xfId="0" applyNumberFormat="1" applyFont="1" applyFill="1" applyBorder="1" applyAlignment="1">
      <x:alignment horizontal="right"/>
    </x:xf>
    <x:xf numFmtId="201" fontId="9" fillId="5" borderId="0" xfId="0" applyNumberFormat="1" applyFont="1" applyFill="1" applyBorder="1" applyAlignment="1">
      <x:alignment horizontal="right"/>
    </x:xf>
    <x:xf numFmtId="201" fontId="9" fillId="5" borderId="4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6" fillId="6" borderId="1" xfId="0" applyNumberFormat="1" applyFont="1" applyFill="1" applyBorder="1"/>
    <x:xf numFmtId="0" fontId="6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horizontal="center" vertical="center"/>
    </x:xf>
    <x:xf numFmtId="0" fontId="5" fillId="2" borderId="6" xfId="0" applyNumberFormat="1" applyFont="1" applyFill="1" applyBorder="1" applyAlignment="1">
      <x:alignment horizontal="center" vertical="center"/>
    </x:xf>
    <x:xf numFmtId="0" fontId="5" fillId="2" borderId="7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7" fillId="8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7" fillId="8" borderId="11" xfId="0" applyNumberFormat="1" applyFont="1" applyFill="1" applyBorder="1" applyAlignment="1">
      <x:alignment vertical="center" wrapText="1"/>
    </x:xf>
    <x:xf numFmtId="0" fontId="7" fillId="8" borderId="12" xfId="0" applyNumberFormat="1" applyFont="1" applyFill="1" applyBorder="1" applyAlignment="1">
      <x:alignment vertical="center" wrapText="1"/>
    </x:xf>
    <x:xf numFmtId="0" fontId="7" fillId="8" borderId="13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9" fillId="5" borderId="4" xfId="0" applyNumberFormat="1" applyFont="1" applyFill="1" applyBorder="1" applyAlignment="1">
      <x:alignment horizontal="right" vertical="center"/>
    </x:xf>
    <x:xf numFmtId="202" fontId="9" fillId="5" borderId="4" xfId="0" applyNumberFormat="1" applyFont="1" applyFill="1" applyBorder="1" applyAlignment="1">
      <x:alignment horizontal="right" vertical="center"/>
    </x:xf>
    <x:xf numFmtId="201" fontId="9" fillId="5" borderId="4" xfId="0" applyNumberFormat="1" applyFont="1" applyFill="1" applyBorder="1" applyAlignment="1">
      <x:alignment horizontal="right" vertical="center"/>
    </x:xf>
    <x:xf numFmtId="0" fontId="6" fillId="6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9" fillId="5" borderId="4" xfId="0" applyNumberFormat="1" applyFont="1" applyFill="1" applyBorder="1" applyAlignment="1">
      <x:alignment horizontal="right" vertical="center" wrapText="1"/>
    </x:xf>
    <x:xf numFmtId="202" fontId="9" fillId="5" borderId="4" xfId="0" applyNumberFormat="1" applyFont="1" applyFill="1" applyBorder="1" applyAlignment="1">
      <x:alignment horizontal="right" vertical="center" wrapText="1"/>
    </x:xf>
    <x:xf numFmtId="201" fontId="9" fillId="5" borderId="4" xfId="0" applyNumberFormat="1" applyFont="1" applyFill="1" applyBorder="1" applyAlignment="1">
      <x:alignment horizontal="right"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c964c10e748f2" /><Relationship Type="http://schemas.openxmlformats.org/officeDocument/2006/relationships/theme" Target="/xl/theme/theme1.xml" Id="Rebf9b895e0ee497f" /><Relationship Type="http://schemas.openxmlformats.org/officeDocument/2006/relationships/sharedStrings" Target="/xl/sharedStrings.xml" Id="Rb0a18a1ab06c40a9" /><Relationship Type="http://schemas.openxmlformats.org/officeDocument/2006/relationships/worksheet" Target="/xl/worksheets/sheet1.xml" Id="Rfc2e341a92014010" /><Relationship Type="http://schemas.openxmlformats.org/officeDocument/2006/relationships/worksheet" Target="/xl/worksheets/sheet2.xml" Id="R8e30c2b48f794fce" /><Relationship Type="http://schemas.openxmlformats.org/officeDocument/2006/relationships/worksheet" Target="/xl/worksheets/sheet3.xml" Id="R9008b89a860145b5" /><Relationship Type="http://schemas.openxmlformats.org/officeDocument/2006/relationships/worksheet" Target="/xl/worksheets/sheet4.xml" Id="R8e3132ea7b6342c3" /><Relationship Type="http://schemas.openxmlformats.org/officeDocument/2006/relationships/worksheet" Target="/xl/worksheets/sheet5.xml" Id="R1b14507ff12944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7" hidden="0" customWidth="1"/>
    <col min="2" max="2" width="34" hidden="0" customWidth="1"/>
    <col min="3" max="3" width="78" hidden="0" customWidth="1"/>
  </cols>
  <sheetData>
    <row r="1" ht="34" customHeight="1">
      <c r="A1" s="5" t="str">
        <v>✦ Cashbrite Budget Tracker</v>
      </c>
      <c r="B1" s="5" t="str">
        <v>✦ Cashbrite Budget Tracker</v>
      </c>
      <c r="C1" s="5" t="str">
        <v>✦ Cashbrite Budget Tracker</v>
      </c>
    </row>
    <row r="2" ht="30" customHeight="1">
      <c r="A2" s="9" t="str">
        <v>A simple student-friendly tracker to plan your money, spot patterns and build better habits.</v>
      </c>
      <c r="B2" s="9" t="str">
        <v>A simple student-friendly tracker to plan your money, spot patterns and build better habits.</v>
      </c>
      <c r="C2" s="9" t="str">
        <v>A simple student-friendly tracker to plan your money, spot patterns and build better habits.</v>
      </c>
    </row>
    <row r="3">
      <c r="A3" s="73"/>
      <c r="B3" s="73"/>
      <c r="C3" s="73"/>
    </row>
    <row r="4" ht="24" customHeight="1">
      <c r="A4" s="74" t="str">
        <v>How to use this tracker</v>
      </c>
      <c r="B4" s="74" t="str">
        <v>How to use this tracker</v>
      </c>
      <c r="C4" s="74" t="str">
        <v>How to use this tracker</v>
      </c>
    </row>
    <row r="5" ht="22" customHeight="1">
      <c r="A5" s="75" t="str">
        <v>1</v>
      </c>
      <c r="B5" s="76" t="str">
        <v>Set your monthly plan</v>
      </c>
      <c r="C5" s="76" t="str">
        <v>Use the Monthly Budget tab to enter expected income, essentials, flexible spending and savings.</v>
      </c>
    </row>
    <row r="6" ht="22" customHeight="1">
      <c r="A6" s="75" t="str">
        <v>2</v>
      </c>
      <c r="B6" s="76" t="str">
        <v>Track real spending</v>
      </c>
      <c r="C6" s="76" t="str">
        <v>Use the Spending Tracker whenever money leaves your account. Small spends count too.</v>
      </c>
    </row>
    <row r="7" ht="22" customHeight="1">
      <c r="A7" s="75" t="str">
        <v>3</v>
      </c>
      <c r="B7" s="76" t="str">
        <v>Set savings goals</v>
      </c>
      <c r="C7" s="76" t="str">
        <v>Use the Savings Goals tab to name what you are saving for and track progress.</v>
      </c>
    </row>
    <row r="8" ht="22" customHeight="1">
      <c r="A8" s="75" t="str">
        <v>4</v>
      </c>
      <c r="B8" s="76" t="str">
        <v>Check the dashboard</v>
      </c>
      <c r="C8" s="76" t="str">
        <v>Review your Dashboard weekly to see income, spending, savings and what is left.</v>
      </c>
    </row>
    <row r="9" ht="22" customHeight="1">
      <c r="A9" s="75" t="str">
        <v>5</v>
      </c>
      <c r="B9" s="76" t="str">
        <v>Adjust without judgement</v>
      </c>
      <c r="C9" s="76" t="str">
        <v>If the plan does not work, change the plan. The aim is progress, not perfection.</v>
      </c>
    </row>
    <row r="10">
      <c r="A10" s="73"/>
      <c r="B10" s="73"/>
      <c r="C10" s="73"/>
    </row>
    <row r="11">
      <c r="A11" s="73"/>
      <c r="B11" s="73"/>
      <c r="C11" s="73"/>
    </row>
    <row r="12" ht="24" customHeight="1">
      <c r="A12" s="74" t="str">
        <v>Cashbrite Quick Wins</v>
      </c>
      <c r="B12" s="74" t="str">
        <v>Cashbrite Quick Wins</v>
      </c>
      <c r="C12" s="74" t="str">
        <v>Cashbrite Quick Wins</v>
      </c>
    </row>
    <row r="13" ht="22" customHeight="1">
      <c r="A13" s="77" t="str">
        <v>✦</v>
      </c>
      <c r="B13" s="76" t="str">
        <v>Do a 5-minute money check-in every Sunday.</v>
      </c>
      <c r="C13" s="76"/>
    </row>
    <row r="14" ht="22" customHeight="1">
      <c r="A14" s="77" t="str">
        <v>✦</v>
      </c>
      <c r="B14" s="76" t="str">
        <v>Move savings out of your spending account.</v>
      </c>
      <c r="C14" s="76"/>
    </row>
    <row r="15" ht="22" customHeight="1">
      <c r="A15" s="77" t="str">
        <v>✦</v>
      </c>
      <c r="B15" s="76" t="str">
        <v>Name your savings goal so it feels real.</v>
      </c>
      <c r="C15" s="76"/>
    </row>
    <row r="16" ht="22" customHeight="1">
      <c r="A16" s="77" t="str">
        <v>✦</v>
      </c>
      <c r="B16" s="76" t="str">
        <v>Track small spends. They are often where money disappears.</v>
      </c>
      <c r="C16" s="76"/>
    </row>
    <row r="17">
      <c r="A17" s="73"/>
      <c r="B17" s="73"/>
      <c r="C17" s="73"/>
    </row>
    <row r="18">
      <c r="A18" s="73"/>
      <c r="B18" s="73"/>
      <c r="C18" s="73"/>
    </row>
    <row r="19" ht="24" customHeight="1">
      <c r="A19" s="74" t="str">
        <v>Important</v>
      </c>
      <c r="B19" s="74" t="str">
        <v>Important</v>
      </c>
      <c r="C19" s="74" t="str">
        <v>Important</v>
      </c>
    </row>
    <row r="20" ht="36" customHeight="1">
      <c r="A20" s="70" t="str">
        <v>Cashbrite provides financial education, not regulated financial advice. Use this tracker to build confidence and make informed decisions.</v>
      </c>
      <c r="B20" s="71" t="str">
        <v>Cashbrite provides financial education, not regulated financial advice. Use this tracker to build confidence and make informed decisions.</v>
      </c>
      <c r="C20" s="72" t="str">
        <v>Cashbrite provides financial education, not regulated financial advice. Use this tracker to build confidence and make informed decisions.</v>
      </c>
    </row>
  </sheetData>
  <mergeCells>
    <mergeCell ref="A1:C1"/>
    <mergeCell ref="A2:C2"/>
    <mergeCell ref="A4:C4"/>
    <mergeCell ref="A12:C12"/>
    <mergeCell ref="B13:C13"/>
    <mergeCell ref="B14:C14"/>
    <mergeCell ref="B15:C15"/>
    <mergeCell ref="B16:C16"/>
    <mergeCell ref="A19:C19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4" hidden="0" customWidth="1"/>
    <col min="2" max="2" width="14" hidden="0" customWidth="1"/>
    <col min="3" max="3" width="14" hidden="0" customWidth="1"/>
    <col min="4" max="4" width="14" hidden="0" customWidth="1"/>
    <col min="5" max="5" width="23" hidden="0" customWidth="1"/>
    <col min="6" max="6" width="32" hidden="0" customWidth="1"/>
  </cols>
  <sheetData>
    <row r="1" ht="34" customHeight="1">
      <c r="A1" s="5" t="str">
        <v>✦ Cashbrite Monthly Budget</v>
      </c>
      <c r="B1" s="5" t="str">
        <v>✦ Cashbrite Monthly Budget</v>
      </c>
      <c r="C1" s="5" t="str">
        <v>✦ Cashbrite Monthly Budget</v>
      </c>
      <c r="D1" s="5" t="str">
        <v>✦ Cashbrite Monthly Budget</v>
      </c>
      <c r="E1" s="5" t="str">
        <v>✦ Cashbrite Monthly Budget</v>
      </c>
      <c r="F1" s="5" t="str">
        <v>✦ Cashbrite Monthly Budget</v>
      </c>
    </row>
    <row r="2" ht="30" customHeight="1">
      <c r="A2" s="9" t="str">
        <v>Plan money before it disappears. Enter planned and actual amounts, then check what is left.</v>
      </c>
      <c r="B2" s="9" t="str">
        <v>Plan money before it disappears. Enter planned and actual amounts, then check what is left.</v>
      </c>
      <c r="C2" s="9" t="str">
        <v>Plan money before it disappears. Enter planned and actual amounts, then check what is left.</v>
      </c>
      <c r="D2" s="9" t="str">
        <v>Plan money before it disappears. Enter planned and actual amounts, then check what is left.</v>
      </c>
      <c r="E2" s="9" t="str">
        <v>Plan money before it disappears. Enter planned and actual amounts, then check what is left.</v>
      </c>
      <c r="F2" s="9" t="str">
        <v>Plan money before it disappears. Enter planned and actual amounts, then check what is left.</v>
      </c>
    </row>
    <row r="3">
      <c r="A3" s="73"/>
      <c r="B3" s="73"/>
      <c r="C3" s="73"/>
      <c r="D3" s="73"/>
      <c r="E3" s="73"/>
      <c r="F3" s="73"/>
    </row>
    <row r="4" ht="26" customHeight="1">
      <c r="A4" s="90" t="str">
        <v>Item</v>
      </c>
      <c r="B4" s="91" t="str">
        <v>Planned</v>
      </c>
      <c r="C4" s="91" t="str">
        <v>Actual</v>
      </c>
      <c r="D4" s="91" t="str">
        <v>Difference</v>
      </c>
      <c r="E4" s="91" t="str">
        <v>Notes</v>
      </c>
      <c r="F4" s="92" t="str">
        <v>Cashbrite Tip</v>
      </c>
    </row>
    <row r="5" ht="24" customHeight="1">
      <c r="A5" s="93" t="str">
        <v>Income</v>
      </c>
      <c r="B5" s="93" t="str">
        <v>Income</v>
      </c>
      <c r="C5" s="93" t="str">
        <v>Income</v>
      </c>
      <c r="D5" s="93" t="str">
        <v>Income</v>
      </c>
      <c r="E5" s="93" t="str">
        <v>Income</v>
      </c>
      <c r="F5" s="93" t="str">
        <v>Income</v>
      </c>
    </row>
    <row r="6">
      <c r="A6" s="94" t="str">
        <v>Part-time work / wages</v>
      </c>
      <c r="B6" s="95"/>
      <c r="C6" s="95"/>
      <c r="D6" s="96" t="n">
        <f>C6-B6</f>
        <v>0</v>
      </c>
      <c r="E6" s="94"/>
      <c r="F6" s="97" t="str">
        <v>Use take-home pay where possible</v>
      </c>
    </row>
    <row r="7">
      <c r="A7" s="94" t="str">
        <v>Student finance / allowance</v>
      </c>
      <c r="B7" s="95"/>
      <c r="C7" s="95"/>
      <c r="D7" s="96" t="n">
        <f>C7-B7</f>
        <v>0</v>
      </c>
      <c r="E7" s="94"/>
      <c r="F7" s="97"/>
    </row>
    <row r="8">
      <c r="A8" s="94" t="str">
        <v>Support from family</v>
      </c>
      <c r="B8" s="95"/>
      <c r="C8" s="95"/>
      <c r="D8" s="96" t="n">
        <f>C8-B8</f>
        <v>0</v>
      </c>
      <c r="E8" s="94"/>
      <c r="F8" s="97"/>
    </row>
    <row r="9">
      <c r="A9" s="94" t="str">
        <v>Other income</v>
      </c>
      <c r="B9" s="95"/>
      <c r="C9" s="95"/>
      <c r="D9" s="96" t="n">
        <f>C9-B9</f>
        <v>0</v>
      </c>
      <c r="E9" s="94"/>
      <c r="F9" s="97"/>
    </row>
    <row r="10">
      <c r="A10" s="94"/>
      <c r="B10" s="95"/>
      <c r="C10" s="95"/>
      <c r="D10" s="96"/>
      <c r="E10" s="94"/>
      <c r="F10" s="97"/>
    </row>
    <row r="11" ht="24" customHeight="1">
      <c r="A11" s="93" t="str">
        <v>Essentials</v>
      </c>
      <c r="B11" s="98" t="str">
        <v>Essentials</v>
      </c>
      <c r="C11" s="98" t="str">
        <v>Essentials</v>
      </c>
      <c r="D11" s="99" t="str">
        <v>Essentials</v>
      </c>
      <c r="E11" s="93" t="str">
        <v>Essentials</v>
      </c>
      <c r="F11" s="100" t="str">
        <v>Essentials</v>
      </c>
    </row>
    <row r="12">
      <c r="A12" s="94" t="str">
        <v>Rent / board</v>
      </c>
      <c r="B12" s="95"/>
      <c r="C12" s="95"/>
      <c r="D12" s="96" t="n">
        <f>C12-B12</f>
        <v>0</v>
      </c>
      <c r="E12" s="94"/>
      <c r="F12" s="97" t="str">
        <v>Plan essentials before flexible spending</v>
      </c>
    </row>
    <row r="13">
      <c r="A13" s="94" t="str">
        <v>Food and groceries</v>
      </c>
      <c r="B13" s="95"/>
      <c r="C13" s="95"/>
      <c r="D13" s="96" t="n">
        <f>C13-B13</f>
        <v>0</v>
      </c>
      <c r="E13" s="94"/>
      <c r="F13" s="97"/>
    </row>
    <row r="14">
      <c r="A14" s="94" t="str">
        <v>Travel</v>
      </c>
      <c r="B14" s="95"/>
      <c r="C14" s="95"/>
      <c r="D14" s="96" t="n">
        <f>C14-B14</f>
        <v>0</v>
      </c>
      <c r="E14" s="94"/>
      <c r="F14" s="97"/>
    </row>
    <row r="15">
      <c r="A15" s="94" t="str">
        <v>Phone</v>
      </c>
      <c r="B15" s="95"/>
      <c r="C15" s="95"/>
      <c r="D15" s="96" t="n">
        <f>C15-B15</f>
        <v>0</v>
      </c>
      <c r="E15" s="94"/>
      <c r="F15" s="97"/>
    </row>
    <row r="16">
      <c r="A16" s="94" t="str">
        <v>Course / study costs</v>
      </c>
      <c r="B16" s="95"/>
      <c r="C16" s="95"/>
      <c r="D16" s="96" t="n">
        <f>C16-B16</f>
        <v>0</v>
      </c>
      <c r="E16" s="94"/>
      <c r="F16" s="97"/>
    </row>
    <row r="17">
      <c r="A17" s="94" t="str">
        <v>Bills</v>
      </c>
      <c r="B17" s="95"/>
      <c r="C17" s="95"/>
      <c r="D17" s="96" t="n">
        <f>C17-B17</f>
        <v>0</v>
      </c>
      <c r="E17" s="94"/>
      <c r="F17" s="97"/>
    </row>
    <row r="18">
      <c r="A18" s="94" t="str">
        <v>Subscriptions</v>
      </c>
      <c r="B18" s="95"/>
      <c r="C18" s="95"/>
      <c r="D18" s="96" t="n">
        <f>C18-B18</f>
        <v>0</v>
      </c>
      <c r="E18" s="94"/>
      <c r="F18" s="97"/>
    </row>
    <row r="19">
      <c r="A19" s="94" t="str">
        <v>Other essentials</v>
      </c>
      <c r="B19" s="95"/>
      <c r="C19" s="95"/>
      <c r="D19" s="96" t="n">
        <f>C19-B19</f>
        <v>0</v>
      </c>
      <c r="E19" s="94"/>
      <c r="F19" s="97"/>
    </row>
    <row r="20">
      <c r="A20" s="94"/>
      <c r="B20" s="95"/>
      <c r="C20" s="95"/>
      <c r="D20" s="96"/>
      <c r="E20" s="94"/>
      <c r="F20" s="97"/>
    </row>
    <row r="21" ht="24" customHeight="1">
      <c r="A21" s="93" t="str">
        <v>Flexible spending</v>
      </c>
      <c r="B21" s="98" t="str">
        <v>Flexible spending</v>
      </c>
      <c r="C21" s="98" t="str">
        <v>Flexible spending</v>
      </c>
      <c r="D21" s="99" t="str">
        <v>Flexible spending</v>
      </c>
      <c r="E21" s="93" t="str">
        <v>Flexible spending</v>
      </c>
      <c r="F21" s="100" t="str">
        <v>Flexible spending</v>
      </c>
    </row>
    <row r="22">
      <c r="A22" s="94" t="str">
        <v>Eating out / coffee</v>
      </c>
      <c r="B22" s="95"/>
      <c r="C22" s="95"/>
      <c r="D22" s="96" t="n">
        <f>C22-B22</f>
        <v>0</v>
      </c>
      <c r="E22" s="94"/>
      <c r="F22" s="97" t="str">
        <v>Track little spends — they add up</v>
      </c>
    </row>
    <row r="23">
      <c r="A23" s="94" t="str">
        <v>Clothes</v>
      </c>
      <c r="B23" s="95"/>
      <c r="C23" s="95"/>
      <c r="D23" s="96" t="n">
        <f>C23-B23</f>
        <v>0</v>
      </c>
      <c r="E23" s="94"/>
      <c r="F23" s="97"/>
    </row>
    <row r="24">
      <c r="A24" s="94" t="str">
        <v>Entertainment</v>
      </c>
      <c r="B24" s="95"/>
      <c r="C24" s="95"/>
      <c r="D24" s="96" t="n">
        <f>C24-B24</f>
        <v>0</v>
      </c>
      <c r="E24" s="94"/>
      <c r="F24" s="97"/>
    </row>
    <row r="25">
      <c r="A25" s="94" t="str">
        <v>Hobbies</v>
      </c>
      <c r="B25" s="95"/>
      <c r="C25" s="95"/>
      <c r="D25" s="96" t="n">
        <f>C25-B25</f>
        <v>0</v>
      </c>
      <c r="E25" s="94"/>
      <c r="F25" s="97"/>
    </row>
    <row r="26">
      <c r="A26" s="94" t="str">
        <v>Gifts</v>
      </c>
      <c r="B26" s="95"/>
      <c r="C26" s="95"/>
      <c r="D26" s="96" t="n">
        <f>C26-B26</f>
        <v>0</v>
      </c>
      <c r="E26" s="94"/>
      <c r="F26" s="97"/>
    </row>
    <row r="27">
      <c r="A27" s="94" t="str">
        <v>Other flexible spending</v>
      </c>
      <c r="B27" s="95"/>
      <c r="C27" s="95"/>
      <c r="D27" s="96" t="n">
        <f>C27-B27</f>
        <v>0</v>
      </c>
      <c r="E27" s="94"/>
      <c r="F27" s="97"/>
    </row>
    <row r="28">
      <c r="A28" s="94"/>
      <c r="B28" s="95"/>
      <c r="C28" s="95"/>
      <c r="D28" s="96"/>
      <c r="E28" s="94"/>
      <c r="F28" s="97"/>
    </row>
    <row r="29" ht="24" customHeight="1">
      <c r="A29" s="93" t="str">
        <v>Savings</v>
      </c>
      <c r="B29" s="98" t="str">
        <v>Savings</v>
      </c>
      <c r="C29" s="98" t="str">
        <v>Savings</v>
      </c>
      <c r="D29" s="99" t="str">
        <v>Savings</v>
      </c>
      <c r="E29" s="93" t="str">
        <v>Savings</v>
      </c>
      <c r="F29" s="100" t="str">
        <v>Savings</v>
      </c>
    </row>
    <row r="30">
      <c r="A30" s="94" t="str">
        <v>Emergency fund</v>
      </c>
      <c r="B30" s="95"/>
      <c r="C30" s="95"/>
      <c r="D30" s="96" t="n">
        <f>C30-B30</f>
        <v>0</v>
      </c>
      <c r="E30" s="94"/>
      <c r="F30" s="97" t="str">
        <v>Pay yourself first where possible</v>
      </c>
    </row>
    <row r="31">
      <c r="A31" s="94" t="str">
        <v>Short-term goal</v>
      </c>
      <c r="B31" s="95"/>
      <c r="C31" s="95"/>
      <c r="D31" s="96" t="n">
        <f>C31-B31</f>
        <v>0</v>
      </c>
      <c r="E31" s="94"/>
      <c r="F31" s="97"/>
    </row>
    <row r="32">
      <c r="A32" s="94" t="str">
        <v>Longer-term goal</v>
      </c>
      <c r="B32" s="95"/>
      <c r="C32" s="95"/>
      <c r="D32" s="96" t="n">
        <f>C32-B32</f>
        <v>0</v>
      </c>
      <c r="E32" s="94"/>
      <c r="F32" s="97"/>
    </row>
    <row r="33">
      <c r="A33" s="94" t="str">
        <v>Other saving</v>
      </c>
      <c r="B33" s="95"/>
      <c r="C33" s="95"/>
      <c r="D33" s="96" t="n">
        <f>C33-B33</f>
        <v>0</v>
      </c>
      <c r="E33" s="94"/>
      <c r="F33" s="97"/>
    </row>
    <row r="34">
      <c r="A34" s="94"/>
      <c r="B34" s="96"/>
      <c r="C34" s="96"/>
      <c r="D34" s="96"/>
      <c r="E34" s="94"/>
      <c r="F34" s="97"/>
    </row>
    <row r="35" ht="24" customHeight="1">
      <c r="A35" s="93" t="str">
        <v>Totals</v>
      </c>
      <c r="B35" s="99" t="str">
        <v>Totals</v>
      </c>
      <c r="C35" s="99" t="str">
        <v>Totals</v>
      </c>
      <c r="D35" s="99" t="str">
        <v>Totals</v>
      </c>
      <c r="E35" s="93" t="str">
        <v>Totals</v>
      </c>
      <c r="F35" s="100" t="str">
        <v>Totals</v>
      </c>
    </row>
    <row r="36">
      <c r="A36" s="94" t="str">
        <v>Total income</v>
      </c>
      <c r="B36" s="101" t="n">
        <f>SUM(B6:B9)</f>
        <v>0</v>
      </c>
      <c r="C36" s="101" t="n">
        <f>SUM(C6:C9)</f>
        <v>0</v>
      </c>
      <c r="D36" s="101" t="n">
        <f>C36-B36</f>
        <v>0</v>
      </c>
      <c r="E36" s="94"/>
      <c r="F36" s="97"/>
    </row>
    <row r="37">
      <c r="A37" s="94" t="str">
        <v>Total essentials</v>
      </c>
      <c r="B37" s="101" t="n">
        <f>SUM(B12:B19)</f>
        <v>0</v>
      </c>
      <c r="C37" s="101" t="n">
        <f>SUM(C12:C19)</f>
        <v>0</v>
      </c>
      <c r="D37" s="101" t="n">
        <f>C37-B37</f>
        <v>0</v>
      </c>
      <c r="E37" s="94"/>
      <c r="F37" s="97"/>
    </row>
    <row r="38">
      <c r="A38" s="94" t="str">
        <v>Total flexible spending</v>
      </c>
      <c r="B38" s="101" t="n">
        <f>SUM(B22:B27)</f>
        <v>0</v>
      </c>
      <c r="C38" s="101" t="n">
        <f>SUM(C22:C27)</f>
        <v>0</v>
      </c>
      <c r="D38" s="101" t="n">
        <f>C38-B38</f>
        <v>0</v>
      </c>
      <c r="E38" s="94"/>
      <c r="F38" s="97"/>
    </row>
    <row r="39">
      <c r="A39" s="94" t="str">
        <v>Total savings</v>
      </c>
      <c r="B39" s="101" t="n">
        <f>SUM(B30:B33)</f>
        <v>0</v>
      </c>
      <c r="C39" s="101" t="n">
        <f>SUM(C30:C33)</f>
        <v>0</v>
      </c>
      <c r="D39" s="101" t="n">
        <f>C39-B39</f>
        <v>0</v>
      </c>
      <c r="E39" s="94"/>
      <c r="F39" s="97"/>
    </row>
    <row r="40">
      <c r="A40" s="94" t="str">
        <v>Remaining balance</v>
      </c>
      <c r="B40" s="101" t="n">
        <f>B36-B37-B38-B39</f>
        <v>0</v>
      </c>
      <c r="C40" s="101" t="n">
        <f>C36-C37-C38-C39</f>
        <v>0</v>
      </c>
      <c r="D40" s="101" t="n">
        <f>C40-B40</f>
        <v>0</v>
      </c>
      <c r="E40" s="94"/>
      <c r="F40" s="97"/>
    </row>
  </sheetData>
  <mergeCells>
    <mergeCell ref="A1:F1"/>
    <mergeCell ref="A2:F2"/>
    <mergeCell ref="A5:F5"/>
    <mergeCell ref="A11:F11"/>
    <mergeCell ref="A21:F21"/>
    <mergeCell ref="A29:F29"/>
    <mergeCell ref="A35:F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4" hidden="0" customWidth="1"/>
    <col min="2" max="2" width="22" hidden="0" customWidth="1"/>
    <col min="3" max="3" width="32" hidden="0" customWidth="1"/>
    <col min="4" max="4" width="13" hidden="0" customWidth="1"/>
    <col min="5" max="5" width="20" hidden="0" customWidth="1"/>
    <col min="6" max="6" width="16" hidden="0" customWidth="1"/>
    <col min="7" max="7" width="34" hidden="0" customWidth="1"/>
  </cols>
  <sheetData>
    <row r="1" ht="34" customHeight="1">
      <c r="A1" s="5" t="str">
        <v>✦ Cashbrite Spending Tracker</v>
      </c>
      <c r="B1" s="5" t="str">
        <v>✦ Cashbrite Spending Tracker</v>
      </c>
      <c r="C1" s="5" t="str">
        <v>✦ Cashbrite Spending Tracker</v>
      </c>
      <c r="D1" s="5" t="str">
        <v>✦ Cashbrite Spending Tracker</v>
      </c>
      <c r="E1" s="5" t="str">
        <v>✦ Cashbrite Spending Tracker</v>
      </c>
      <c r="F1" s="5" t="str">
        <v>✦ Cashbrite Spending Tracker</v>
      </c>
      <c r="G1" s="5" t="str">
        <v>✦ Cashbrite Spending Tracker</v>
      </c>
    </row>
    <row r="2" ht="30" customHeight="1">
      <c r="A2" s="9" t="str">
        <v>Log daily spending. The aim is not guilt — it is seeing patterns early.</v>
      </c>
      <c r="B2" s="9" t="str">
        <v>Log daily spending. The aim is not guilt — it is seeing patterns early.</v>
      </c>
      <c r="C2" s="9" t="str">
        <v>Log daily spending. The aim is not guilt — it is seeing patterns early.</v>
      </c>
      <c r="D2" s="9" t="str">
        <v>Log daily spending. The aim is not guilt — it is seeing patterns early.</v>
      </c>
      <c r="E2" s="9" t="str">
        <v>Log daily spending. The aim is not guilt — it is seeing patterns early.</v>
      </c>
      <c r="F2" s="9" t="str">
        <v>Log daily spending. The aim is not guilt — it is seeing patterns early.</v>
      </c>
      <c r="G2" s="9" t="str">
        <v>Log daily spending. The aim is not guilt — it is seeing patterns early.</v>
      </c>
    </row>
    <row r="3">
      <c r="A3" s="73"/>
      <c r="B3" s="73"/>
      <c r="C3" s="73"/>
      <c r="D3" s="73"/>
      <c r="E3" s="73"/>
      <c r="F3" s="73"/>
      <c r="G3" s="73"/>
    </row>
    <row r="4" ht="26" customHeight="1">
      <c r="A4" s="90" t="str">
        <v>Date</v>
      </c>
      <c r="B4" s="91" t="str">
        <v>Category</v>
      </c>
      <c r="C4" s="91" t="str">
        <v>Description</v>
      </c>
      <c r="D4" s="91" t="str">
        <v>Amount</v>
      </c>
      <c r="E4" s="91" t="str">
        <v>Payment method</v>
      </c>
      <c r="F4" s="91" t="str">
        <v>Need / Want</v>
      </c>
      <c r="G4" s="92" t="str">
        <v>Notes</v>
      </c>
    </row>
    <row r="5" ht="22" customHeight="1">
      <c r="A5" s="110"/>
      <c r="B5" s="76"/>
      <c r="C5" s="76"/>
      <c r="D5" s="111"/>
      <c r="E5" s="76"/>
      <c r="F5" s="76"/>
      <c r="G5" s="76"/>
    </row>
    <row r="6" ht="22" customHeight="1">
      <c r="A6" s="110"/>
      <c r="B6" s="76"/>
      <c r="C6" s="76"/>
      <c r="D6" s="111"/>
      <c r="E6" s="76"/>
      <c r="F6" s="76"/>
      <c r="G6" s="76"/>
    </row>
    <row r="7" ht="22" customHeight="1">
      <c r="A7" s="110"/>
      <c r="B7" s="76"/>
      <c r="C7" s="76"/>
      <c r="D7" s="111"/>
      <c r="E7" s="76"/>
      <c r="F7" s="76"/>
      <c r="G7" s="76"/>
    </row>
    <row r="8" ht="22" customHeight="1">
      <c r="A8" s="110"/>
      <c r="B8" s="76"/>
      <c r="C8" s="76"/>
      <c r="D8" s="111"/>
      <c r="E8" s="76"/>
      <c r="F8" s="76"/>
      <c r="G8" s="76"/>
    </row>
    <row r="9" ht="22" customHeight="1">
      <c r="A9" s="110"/>
      <c r="B9" s="76"/>
      <c r="C9" s="76"/>
      <c r="D9" s="111"/>
      <c r="E9" s="76"/>
      <c r="F9" s="76"/>
      <c r="G9" s="76"/>
    </row>
    <row r="10" ht="22" customHeight="1">
      <c r="A10" s="110"/>
      <c r="B10" s="76"/>
      <c r="C10" s="76"/>
      <c r="D10" s="111"/>
      <c r="E10" s="76"/>
      <c r="F10" s="76"/>
      <c r="G10" s="76"/>
    </row>
    <row r="11" ht="22" customHeight="1">
      <c r="A11" s="110"/>
      <c r="B11" s="76"/>
      <c r="C11" s="76"/>
      <c r="D11" s="111"/>
      <c r="E11" s="76"/>
      <c r="F11" s="76"/>
      <c r="G11" s="76"/>
    </row>
    <row r="12" ht="22" customHeight="1">
      <c r="A12" s="110"/>
      <c r="B12" s="76"/>
      <c r="C12" s="76"/>
      <c r="D12" s="111"/>
      <c r="E12" s="76"/>
      <c r="F12" s="76"/>
      <c r="G12" s="76"/>
    </row>
    <row r="13" ht="22" customHeight="1">
      <c r="A13" s="110"/>
      <c r="B13" s="76"/>
      <c r="C13" s="76"/>
      <c r="D13" s="111"/>
      <c r="E13" s="76"/>
      <c r="F13" s="76"/>
      <c r="G13" s="76"/>
    </row>
    <row r="14" ht="22" customHeight="1">
      <c r="A14" s="110"/>
      <c r="B14" s="76"/>
      <c r="C14" s="76"/>
      <c r="D14" s="111"/>
      <c r="E14" s="76"/>
      <c r="F14" s="76"/>
      <c r="G14" s="76"/>
    </row>
    <row r="15" ht="22" customHeight="1">
      <c r="A15" s="110"/>
      <c r="B15" s="76"/>
      <c r="C15" s="76"/>
      <c r="D15" s="111"/>
      <c r="E15" s="76"/>
      <c r="F15" s="76"/>
      <c r="G15" s="76"/>
    </row>
    <row r="16" ht="22" customHeight="1">
      <c r="A16" s="110"/>
      <c r="B16" s="76"/>
      <c r="C16" s="76"/>
      <c r="D16" s="111"/>
      <c r="E16" s="76"/>
      <c r="F16" s="76"/>
      <c r="G16" s="76"/>
    </row>
    <row r="17" ht="22" customHeight="1">
      <c r="A17" s="110"/>
      <c r="B17" s="76"/>
      <c r="C17" s="76"/>
      <c r="D17" s="111"/>
      <c r="E17" s="76"/>
      <c r="F17" s="76"/>
      <c r="G17" s="76"/>
    </row>
    <row r="18" ht="22" customHeight="1">
      <c r="A18" s="110"/>
      <c r="B18" s="76"/>
      <c r="C18" s="76"/>
      <c r="D18" s="111"/>
      <c r="E18" s="76"/>
      <c r="F18" s="76"/>
      <c r="G18" s="76"/>
    </row>
    <row r="19" ht="22" customHeight="1">
      <c r="A19" s="110"/>
      <c r="B19" s="76"/>
      <c r="C19" s="76"/>
      <c r="D19" s="111"/>
      <c r="E19" s="76"/>
      <c r="F19" s="76"/>
      <c r="G19" s="76"/>
    </row>
    <row r="20" ht="22" customHeight="1">
      <c r="A20" s="110"/>
      <c r="B20" s="76"/>
      <c r="C20" s="76"/>
      <c r="D20" s="111"/>
      <c r="E20" s="76"/>
      <c r="F20" s="76"/>
      <c r="G20" s="76"/>
    </row>
    <row r="21" ht="22" customHeight="1">
      <c r="A21" s="110"/>
      <c r="B21" s="76"/>
      <c r="C21" s="76"/>
      <c r="D21" s="111"/>
      <c r="E21" s="76"/>
      <c r="F21" s="76"/>
      <c r="G21" s="76"/>
    </row>
    <row r="22" ht="22" customHeight="1">
      <c r="A22" s="110"/>
      <c r="B22" s="76"/>
      <c r="C22" s="76"/>
      <c r="D22" s="111"/>
      <c r="E22" s="76"/>
      <c r="F22" s="76"/>
      <c r="G22" s="76"/>
    </row>
    <row r="23" ht="22" customHeight="1">
      <c r="A23" s="110"/>
      <c r="B23" s="76"/>
      <c r="C23" s="76"/>
      <c r="D23" s="111"/>
      <c r="E23" s="76"/>
      <c r="F23" s="76"/>
      <c r="G23" s="76"/>
    </row>
    <row r="24" ht="22" customHeight="1">
      <c r="A24" s="110"/>
      <c r="B24" s="76"/>
      <c r="C24" s="76"/>
      <c r="D24" s="111"/>
      <c r="E24" s="76"/>
      <c r="F24" s="76"/>
      <c r="G24" s="76"/>
    </row>
    <row r="25" ht="22" customHeight="1">
      <c r="A25" s="110"/>
      <c r="B25" s="76"/>
      <c r="C25" s="76"/>
      <c r="D25" s="111"/>
      <c r="E25" s="76"/>
      <c r="F25" s="76"/>
      <c r="G25" s="76"/>
    </row>
    <row r="26" ht="22" customHeight="1">
      <c r="A26" s="110"/>
      <c r="B26" s="76"/>
      <c r="C26" s="76"/>
      <c r="D26" s="111"/>
      <c r="E26" s="76"/>
      <c r="F26" s="76"/>
      <c r="G26" s="76"/>
    </row>
    <row r="27" ht="22" customHeight="1">
      <c r="A27" s="110"/>
      <c r="B27" s="76"/>
      <c r="C27" s="76"/>
      <c r="D27" s="111"/>
      <c r="E27" s="76"/>
      <c r="F27" s="76"/>
      <c r="G27" s="76"/>
    </row>
    <row r="28" ht="22" customHeight="1">
      <c r="A28" s="110"/>
      <c r="B28" s="76"/>
      <c r="C28" s="76"/>
      <c r="D28" s="111"/>
      <c r="E28" s="76"/>
      <c r="F28" s="76"/>
      <c r="G28" s="76"/>
    </row>
    <row r="29" ht="22" customHeight="1">
      <c r="A29" s="110"/>
      <c r="B29" s="76"/>
      <c r="C29" s="76"/>
      <c r="D29" s="111"/>
      <c r="E29" s="76"/>
      <c r="F29" s="76"/>
      <c r="G29" s="76"/>
    </row>
    <row r="30" ht="22" customHeight="1">
      <c r="A30" s="110"/>
      <c r="B30" s="76"/>
      <c r="C30" s="76"/>
      <c r="D30" s="111"/>
      <c r="E30" s="76"/>
      <c r="F30" s="76"/>
      <c r="G30" s="76"/>
    </row>
    <row r="31" ht="22" customHeight="1">
      <c r="A31" s="110"/>
      <c r="B31" s="76"/>
      <c r="C31" s="76"/>
      <c r="D31" s="111"/>
      <c r="E31" s="76"/>
      <c r="F31" s="76"/>
      <c r="G31" s="76"/>
    </row>
    <row r="32" ht="22" customHeight="1">
      <c r="A32" s="110"/>
      <c r="B32" s="76"/>
      <c r="C32" s="76"/>
      <c r="D32" s="111"/>
      <c r="E32" s="76"/>
      <c r="F32" s="76"/>
      <c r="G32" s="76"/>
    </row>
    <row r="33" ht="22" customHeight="1">
      <c r="A33" s="110"/>
      <c r="B33" s="76"/>
      <c r="C33" s="76"/>
      <c r="D33" s="111"/>
      <c r="E33" s="76"/>
      <c r="F33" s="76"/>
      <c r="G33" s="76"/>
    </row>
    <row r="34" ht="22" customHeight="1">
      <c r="A34" s="110"/>
      <c r="B34" s="76"/>
      <c r="C34" s="76"/>
      <c r="D34" s="111"/>
      <c r="E34" s="76"/>
      <c r="F34" s="76"/>
      <c r="G34" s="76"/>
    </row>
    <row r="35" ht="22" customHeight="1">
      <c r="A35" s="110"/>
      <c r="B35" s="76"/>
      <c r="C35" s="76"/>
      <c r="D35" s="111"/>
      <c r="E35" s="76"/>
      <c r="F35" s="76"/>
      <c r="G35" s="76"/>
    </row>
    <row r="36" ht="22" customHeight="1">
      <c r="A36" s="110"/>
      <c r="B36" s="76"/>
      <c r="C36" s="76"/>
      <c r="D36" s="111"/>
      <c r="E36" s="76"/>
      <c r="F36" s="76"/>
      <c r="G36" s="76"/>
    </row>
    <row r="37" ht="22" customHeight="1">
      <c r="A37" s="110"/>
      <c r="B37" s="76"/>
      <c r="C37" s="76"/>
      <c r="D37" s="111"/>
      <c r="E37" s="76"/>
      <c r="F37" s="76"/>
      <c r="G37" s="76"/>
    </row>
    <row r="38" ht="22" customHeight="1">
      <c r="A38" s="110"/>
      <c r="B38" s="76"/>
      <c r="C38" s="76"/>
      <c r="D38" s="111"/>
      <c r="E38" s="76"/>
      <c r="F38" s="76"/>
      <c r="G38" s="76"/>
    </row>
    <row r="39" ht="22" customHeight="1">
      <c r="A39" s="110"/>
      <c r="B39" s="76"/>
      <c r="C39" s="76"/>
      <c r="D39" s="111"/>
      <c r="E39" s="76"/>
      <c r="F39" s="76"/>
      <c r="G39" s="76"/>
    </row>
    <row r="40" ht="22" customHeight="1">
      <c r="A40" s="110"/>
      <c r="B40" s="76"/>
      <c r="C40" s="76"/>
      <c r="D40" s="111"/>
      <c r="E40" s="76"/>
      <c r="F40" s="76"/>
      <c r="G40" s="76"/>
    </row>
    <row r="41" ht="22" customHeight="1">
      <c r="A41" s="110"/>
      <c r="B41" s="76"/>
      <c r="C41" s="76"/>
      <c r="D41" s="111"/>
      <c r="E41" s="76"/>
      <c r="F41" s="76"/>
      <c r="G41" s="76"/>
    </row>
    <row r="42" ht="22" customHeight="1">
      <c r="A42" s="110"/>
      <c r="B42" s="76"/>
      <c r="C42" s="76"/>
      <c r="D42" s="111"/>
      <c r="E42" s="76"/>
      <c r="F42" s="76"/>
      <c r="G42" s="76"/>
    </row>
    <row r="43" ht="22" customHeight="1">
      <c r="A43" s="110"/>
      <c r="B43" s="76"/>
      <c r="C43" s="76"/>
      <c r="D43" s="111"/>
      <c r="E43" s="76"/>
      <c r="F43" s="76"/>
      <c r="G43" s="76"/>
    </row>
    <row r="44" ht="22" customHeight="1">
      <c r="A44" s="110"/>
      <c r="B44" s="76"/>
      <c r="C44" s="76"/>
      <c r="D44" s="111"/>
      <c r="E44" s="76"/>
      <c r="F44" s="76"/>
      <c r="G44" s="76"/>
    </row>
    <row r="45" ht="22" customHeight="1">
      <c r="A45" s="110"/>
      <c r="B45" s="76"/>
      <c r="C45" s="76"/>
      <c r="D45" s="111"/>
      <c r="E45" s="76"/>
      <c r="F45" s="76"/>
      <c r="G45" s="76"/>
    </row>
    <row r="46" ht="22" customHeight="1">
      <c r="A46" s="110"/>
      <c r="B46" s="76"/>
      <c r="C46" s="76"/>
      <c r="D46" s="111"/>
      <c r="E46" s="76"/>
      <c r="F46" s="76"/>
      <c r="G46" s="76"/>
    </row>
    <row r="47" ht="22" customHeight="1">
      <c r="A47" s="110"/>
      <c r="B47" s="76"/>
      <c r="C47" s="76"/>
      <c r="D47" s="111"/>
      <c r="E47" s="76"/>
      <c r="F47" s="76"/>
      <c r="G47" s="76"/>
    </row>
    <row r="48" ht="22" customHeight="1">
      <c r="A48" s="110"/>
      <c r="B48" s="76"/>
      <c r="C48" s="76"/>
      <c r="D48" s="111"/>
      <c r="E48" s="76"/>
      <c r="F48" s="76"/>
      <c r="G48" s="76"/>
    </row>
    <row r="49" ht="22" customHeight="1">
      <c r="A49" s="110"/>
      <c r="B49" s="76"/>
      <c r="C49" s="76"/>
      <c r="D49" s="111"/>
      <c r="E49" s="76"/>
      <c r="F49" s="76"/>
      <c r="G49" s="76"/>
    </row>
    <row r="50" ht="22" customHeight="1">
      <c r="A50" s="110"/>
      <c r="B50" s="76"/>
      <c r="C50" s="76"/>
      <c r="D50" s="111"/>
      <c r="E50" s="76"/>
      <c r="F50" s="76"/>
      <c r="G50" s="76"/>
    </row>
    <row r="51" ht="22" customHeight="1">
      <c r="A51" s="110"/>
      <c r="B51" s="76"/>
      <c r="C51" s="76"/>
      <c r="D51" s="111"/>
      <c r="E51" s="76"/>
      <c r="F51" s="76"/>
      <c r="G51" s="76"/>
    </row>
    <row r="52" ht="22" customHeight="1">
      <c r="A52" s="110"/>
      <c r="B52" s="76"/>
      <c r="C52" s="76"/>
      <c r="D52" s="111"/>
      <c r="E52" s="76"/>
      <c r="F52" s="76"/>
      <c r="G52" s="76"/>
    </row>
    <row r="53" ht="22" customHeight="1">
      <c r="A53" s="110"/>
      <c r="B53" s="76"/>
      <c r="C53" s="76"/>
      <c r="D53" s="111"/>
      <c r="E53" s="76"/>
      <c r="F53" s="76"/>
      <c r="G53" s="76"/>
    </row>
    <row r="54" ht="22" customHeight="1">
      <c r="A54" s="110"/>
      <c r="B54" s="76"/>
      <c r="C54" s="76"/>
      <c r="D54" s="111"/>
      <c r="E54" s="76"/>
      <c r="F54" s="76"/>
      <c r="G54" s="76"/>
    </row>
    <row r="55" ht="22" customHeight="1">
      <c r="A55" s="110"/>
      <c r="B55" s="76"/>
      <c r="C55" s="76"/>
      <c r="D55" s="111"/>
      <c r="E55" s="76"/>
      <c r="F55" s="76"/>
      <c r="G55" s="76"/>
    </row>
    <row r="56" ht="22" customHeight="1">
      <c r="A56" s="110"/>
      <c r="B56" s="76"/>
      <c r="C56" s="76"/>
      <c r="D56" s="111"/>
      <c r="E56" s="76"/>
      <c r="F56" s="76"/>
      <c r="G56" s="76"/>
    </row>
    <row r="57" ht="22" customHeight="1">
      <c r="A57" s="110"/>
      <c r="B57" s="76"/>
      <c r="C57" s="76"/>
      <c r="D57" s="111"/>
      <c r="E57" s="76"/>
      <c r="F57" s="76"/>
      <c r="G57" s="76"/>
    </row>
    <row r="58" ht="22" customHeight="1">
      <c r="A58" s="110"/>
      <c r="B58" s="76"/>
      <c r="C58" s="76"/>
      <c r="D58" s="111"/>
      <c r="E58" s="76"/>
      <c r="F58" s="76"/>
      <c r="G58" s="76"/>
    </row>
    <row r="59" ht="22" customHeight="1">
      <c r="A59" s="110"/>
      <c r="B59" s="76"/>
      <c r="C59" s="76"/>
      <c r="D59" s="111"/>
      <c r="E59" s="76"/>
      <c r="F59" s="76"/>
      <c r="G59" s="76"/>
    </row>
    <row r="60" ht="22" customHeight="1">
      <c r="A60" s="110"/>
      <c r="B60" s="76"/>
      <c r="C60" s="76"/>
      <c r="D60" s="111"/>
      <c r="E60" s="76"/>
      <c r="F60" s="76"/>
      <c r="G60" s="76"/>
    </row>
    <row r="61" ht="22" customHeight="1">
      <c r="A61" s="110"/>
      <c r="B61" s="76"/>
      <c r="C61" s="76"/>
      <c r="D61" s="111"/>
      <c r="E61" s="76"/>
      <c r="F61" s="76"/>
      <c r="G61" s="76"/>
    </row>
    <row r="62" ht="22" customHeight="1">
      <c r="A62" s="110"/>
      <c r="B62" s="76"/>
      <c r="C62" s="76"/>
      <c r="D62" s="111"/>
      <c r="E62" s="76"/>
      <c r="F62" s="76"/>
      <c r="G62" s="76"/>
    </row>
    <row r="63" ht="22" customHeight="1">
      <c r="A63" s="110"/>
      <c r="B63" s="76"/>
      <c r="C63" s="76"/>
      <c r="D63" s="111"/>
      <c r="E63" s="76"/>
      <c r="F63" s="76"/>
      <c r="G63" s="76"/>
    </row>
    <row r="64" ht="22" customHeight="1">
      <c r="A64" s="110"/>
      <c r="B64" s="76"/>
      <c r="C64" s="76"/>
      <c r="D64" s="111"/>
      <c r="E64" s="76"/>
      <c r="F64" s="76"/>
      <c r="G64" s="76"/>
    </row>
    <row r="65" ht="22" customHeight="1">
      <c r="A65" s="110"/>
      <c r="B65" s="76"/>
      <c r="C65" s="76"/>
      <c r="D65" s="111"/>
      <c r="E65" s="76"/>
      <c r="F65" s="76"/>
      <c r="G65" s="76"/>
    </row>
    <row r="66" ht="22" customHeight="1">
      <c r="A66" s="110"/>
      <c r="B66" s="76"/>
      <c r="C66" s="76"/>
      <c r="D66" s="111"/>
      <c r="E66" s="76"/>
      <c r="F66" s="76"/>
      <c r="G66" s="76"/>
    </row>
    <row r="67" ht="22" customHeight="1">
      <c r="A67" s="110"/>
      <c r="B67" s="76"/>
      <c r="C67" s="76"/>
      <c r="D67" s="111"/>
      <c r="E67" s="76"/>
      <c r="F67" s="76"/>
      <c r="G67" s="76"/>
    </row>
    <row r="68" ht="22" customHeight="1">
      <c r="A68" s="110"/>
      <c r="B68" s="76"/>
      <c r="C68" s="76"/>
      <c r="D68" s="111"/>
      <c r="E68" s="76"/>
      <c r="F68" s="76"/>
      <c r="G68" s="76"/>
    </row>
    <row r="69" ht="22" customHeight="1">
      <c r="A69" s="110"/>
      <c r="B69" s="76"/>
      <c r="C69" s="76"/>
      <c r="D69" s="111"/>
      <c r="E69" s="76"/>
      <c r="F69" s="76"/>
      <c r="G69" s="76"/>
    </row>
    <row r="70" ht="22" customHeight="1">
      <c r="A70" s="110"/>
      <c r="B70" s="76"/>
      <c r="C70" s="76"/>
      <c r="D70" s="111"/>
      <c r="E70" s="76"/>
      <c r="F70" s="76"/>
      <c r="G70" s="76"/>
    </row>
    <row r="71" ht="22" customHeight="1">
      <c r="A71" s="110"/>
      <c r="B71" s="76"/>
      <c r="C71" s="76"/>
      <c r="D71" s="111"/>
      <c r="E71" s="76"/>
      <c r="F71" s="76"/>
      <c r="G71" s="76"/>
    </row>
    <row r="72" ht="22" customHeight="1">
      <c r="A72" s="110"/>
      <c r="B72" s="76"/>
      <c r="C72" s="76"/>
      <c r="D72" s="111"/>
      <c r="E72" s="76"/>
      <c r="F72" s="76"/>
      <c r="G72" s="76"/>
    </row>
    <row r="73" ht="22" customHeight="1">
      <c r="A73" s="110"/>
      <c r="B73" s="76"/>
      <c r="C73" s="76"/>
      <c r="D73" s="111"/>
      <c r="E73" s="76"/>
      <c r="F73" s="76"/>
      <c r="G73" s="76"/>
    </row>
    <row r="74" ht="22" customHeight="1">
      <c r="A74" s="110"/>
      <c r="B74" s="76"/>
      <c r="C74" s="76"/>
      <c r="D74" s="111"/>
      <c r="E74" s="76"/>
      <c r="F74" s="76"/>
      <c r="G74" s="76"/>
    </row>
    <row r="75" ht="22" customHeight="1">
      <c r="A75" s="110"/>
      <c r="B75" s="76"/>
      <c r="C75" s="76"/>
      <c r="D75" s="111"/>
      <c r="E75" s="76"/>
      <c r="F75" s="76"/>
      <c r="G75" s="76"/>
    </row>
    <row r="76" ht="22" customHeight="1">
      <c r="A76" s="110"/>
      <c r="B76" s="76"/>
      <c r="C76" s="76"/>
      <c r="D76" s="111"/>
      <c r="E76" s="76"/>
      <c r="F76" s="76"/>
      <c r="G76" s="76"/>
    </row>
    <row r="77" ht="22" customHeight="1">
      <c r="A77" s="110"/>
      <c r="B77" s="76"/>
      <c r="C77" s="76"/>
      <c r="D77" s="111"/>
      <c r="E77" s="76"/>
      <c r="F77" s="76"/>
      <c r="G77" s="76"/>
    </row>
    <row r="78" ht="22" customHeight="1">
      <c r="A78" s="110"/>
      <c r="B78" s="76"/>
      <c r="C78" s="76"/>
      <c r="D78" s="111"/>
      <c r="E78" s="76"/>
      <c r="F78" s="76"/>
      <c r="G78" s="76"/>
    </row>
    <row r="79" ht="22" customHeight="1">
      <c r="A79" s="110"/>
      <c r="B79" s="76"/>
      <c r="C79" s="76"/>
      <c r="D79" s="111"/>
      <c r="E79" s="76"/>
      <c r="F79" s="76"/>
      <c r="G79" s="76"/>
    </row>
    <row r="80" ht="22" customHeight="1">
      <c r="A80" s="110"/>
      <c r="B80" s="76"/>
      <c r="C80" s="76"/>
      <c r="D80" s="111"/>
      <c r="E80" s="76"/>
      <c r="F80" s="76"/>
      <c r="G80" s="76"/>
    </row>
    <row r="81" ht="22" customHeight="1">
      <c r="A81" s="110"/>
      <c r="B81" s="76"/>
      <c r="C81" s="76"/>
      <c r="D81" s="111"/>
      <c r="E81" s="76"/>
      <c r="F81" s="76"/>
      <c r="G81" s="76"/>
    </row>
    <row r="82" ht="22" customHeight="1">
      <c r="A82" s="110"/>
      <c r="B82" s="76"/>
      <c r="C82" s="76"/>
      <c r="D82" s="111"/>
      <c r="E82" s="76"/>
      <c r="F82" s="76"/>
      <c r="G82" s="76"/>
    </row>
    <row r="83" ht="22" customHeight="1">
      <c r="A83" s="110"/>
      <c r="B83" s="76"/>
      <c r="C83" s="76"/>
      <c r="D83" s="111"/>
      <c r="E83" s="76"/>
      <c r="F83" s="76"/>
      <c r="G83" s="76"/>
    </row>
    <row r="84" ht="22" customHeight="1">
      <c r="A84" s="110"/>
      <c r="B84" s="76"/>
      <c r="C84" s="76"/>
      <c r="D84" s="111"/>
      <c r="E84" s="76"/>
      <c r="F84" s="76"/>
      <c r="G84" s="76"/>
    </row>
    <row r="85" ht="22" customHeight="1">
      <c r="A85" s="110"/>
      <c r="B85" s="76"/>
      <c r="C85" s="76"/>
      <c r="D85" s="111"/>
      <c r="E85" s="76"/>
      <c r="F85" s="76"/>
      <c r="G85" s="76"/>
    </row>
    <row r="86" ht="22" customHeight="1">
      <c r="A86" s="110"/>
      <c r="B86" s="76"/>
      <c r="C86" s="76"/>
      <c r="D86" s="111"/>
      <c r="E86" s="76"/>
      <c r="F86" s="76"/>
      <c r="G86" s="76"/>
    </row>
    <row r="87" ht="22" customHeight="1">
      <c r="A87" s="110"/>
      <c r="B87" s="76"/>
      <c r="C87" s="76"/>
      <c r="D87" s="111"/>
      <c r="E87" s="76"/>
      <c r="F87" s="76"/>
      <c r="G87" s="76"/>
    </row>
    <row r="88" ht="22" customHeight="1">
      <c r="A88" s="110"/>
      <c r="B88" s="76"/>
      <c r="C88" s="76"/>
      <c r="D88" s="111"/>
      <c r="E88" s="76"/>
      <c r="F88" s="76"/>
      <c r="G88" s="76"/>
    </row>
    <row r="89" ht="22" customHeight="1">
      <c r="A89" s="110"/>
      <c r="B89" s="76"/>
      <c r="C89" s="76"/>
      <c r="D89" s="111"/>
      <c r="E89" s="76"/>
      <c r="F89" s="76"/>
      <c r="G89" s="76"/>
    </row>
    <row r="90" ht="22" customHeight="1">
      <c r="A90" s="110"/>
      <c r="B90" s="76"/>
      <c r="C90" s="76"/>
      <c r="D90" s="111"/>
      <c r="E90" s="76"/>
      <c r="F90" s="76"/>
      <c r="G90" s="76"/>
    </row>
    <row r="91" ht="22" customHeight="1">
      <c r="A91" s="110"/>
      <c r="B91" s="76"/>
      <c r="C91" s="76"/>
      <c r="D91" s="111"/>
      <c r="E91" s="76"/>
      <c r="F91" s="76"/>
      <c r="G91" s="76"/>
    </row>
    <row r="92" ht="22" customHeight="1">
      <c r="A92" s="110"/>
      <c r="B92" s="76"/>
      <c r="C92" s="76"/>
      <c r="D92" s="111"/>
      <c r="E92" s="76"/>
      <c r="F92" s="76"/>
      <c r="G92" s="76"/>
    </row>
    <row r="93" ht="22" customHeight="1">
      <c r="A93" s="110"/>
      <c r="B93" s="76"/>
      <c r="C93" s="76"/>
      <c r="D93" s="111"/>
      <c r="E93" s="76"/>
      <c r="F93" s="76"/>
      <c r="G93" s="76"/>
    </row>
    <row r="94" ht="22" customHeight="1">
      <c r="A94" s="110"/>
      <c r="B94" s="76"/>
      <c r="C94" s="76"/>
      <c r="D94" s="111"/>
      <c r="E94" s="76"/>
      <c r="F94" s="76"/>
      <c r="G94" s="76"/>
    </row>
    <row r="95" ht="22" customHeight="1">
      <c r="A95" s="110"/>
      <c r="B95" s="76"/>
      <c r="C95" s="76"/>
      <c r="D95" s="111"/>
      <c r="E95" s="76"/>
      <c r="F95" s="76"/>
      <c r="G95" s="76"/>
    </row>
    <row r="96" ht="22" customHeight="1">
      <c r="A96" s="110"/>
      <c r="B96" s="76"/>
      <c r="C96" s="76"/>
      <c r="D96" s="111"/>
      <c r="E96" s="76"/>
      <c r="F96" s="76"/>
      <c r="G96" s="76"/>
    </row>
    <row r="97" ht="22" customHeight="1">
      <c r="A97" s="110"/>
      <c r="B97" s="76"/>
      <c r="C97" s="76"/>
      <c r="D97" s="111"/>
      <c r="E97" s="76"/>
      <c r="F97" s="76"/>
      <c r="G97" s="76"/>
    </row>
    <row r="98" ht="22" customHeight="1">
      <c r="A98" s="110"/>
      <c r="B98" s="76"/>
      <c r="C98" s="76"/>
      <c r="D98" s="111"/>
      <c r="E98" s="76"/>
      <c r="F98" s="76"/>
      <c r="G98" s="76"/>
    </row>
    <row r="99" ht="22" customHeight="1">
      <c r="A99" s="110"/>
      <c r="B99" s="76"/>
      <c r="C99" s="76"/>
      <c r="D99" s="111"/>
      <c r="E99" s="76"/>
      <c r="F99" s="76"/>
      <c r="G99" s="76"/>
    </row>
    <row r="100" ht="22" customHeight="1">
      <c r="A100" s="110"/>
      <c r="B100" s="76"/>
      <c r="C100" s="76"/>
      <c r="D100" s="111"/>
      <c r="E100" s="76"/>
      <c r="F100" s="76"/>
      <c r="G100" s="76"/>
    </row>
    <row r="101" ht="22" customHeight="1">
      <c r="A101" s="110"/>
      <c r="B101" s="76"/>
      <c r="C101" s="76"/>
      <c r="D101" s="111"/>
      <c r="E101" s="76"/>
      <c r="F101" s="76"/>
      <c r="G101" s="76"/>
    </row>
    <row r="102" ht="22" customHeight="1">
      <c r="A102" s="110"/>
      <c r="B102" s="76"/>
      <c r="C102" s="76"/>
      <c r="D102" s="111"/>
      <c r="E102" s="76"/>
      <c r="F102" s="76"/>
      <c r="G102" s="76"/>
    </row>
    <row r="103" ht="22" customHeight="1">
      <c r="A103" s="110"/>
      <c r="B103" s="76"/>
      <c r="C103" s="76"/>
      <c r="D103" s="111"/>
      <c r="E103" s="76"/>
      <c r="F103" s="76"/>
      <c r="G103" s="76"/>
    </row>
    <row r="104" ht="22" customHeight="1">
      <c r="A104" s="110"/>
      <c r="B104" s="76"/>
      <c r="C104" s="76"/>
      <c r="D104" s="111"/>
      <c r="E104" s="76"/>
      <c r="F104" s="76"/>
      <c r="G104" s="76"/>
    </row>
    <row r="105">
      <c r="A105" s="73"/>
      <c r="B105" s="73"/>
      <c r="C105" s="73"/>
      <c r="D105" s="73"/>
      <c r="E105" s="73"/>
      <c r="F105" s="73"/>
      <c r="G105" s="73"/>
    </row>
    <row r="106">
      <c r="A106" s="73"/>
      <c r="B106" s="73"/>
      <c r="C106" s="73"/>
      <c r="D106" s="73"/>
      <c r="E106" s="73"/>
      <c r="F106" s="73"/>
      <c r="G106" s="73"/>
    </row>
    <row r="107">
      <c r="A107" s="104" t="str">
        <v>Cashbrite Tip: If you are not sure where your money is going, track every spend for one week. Patterns become much easier to spot.</v>
      </c>
      <c r="B107" s="105" t="str">
        <v>Cashbrite Tip: If you are not sure where your money is going, track every spend for one week. Patterns become much easier to spot.</v>
      </c>
      <c r="C107" s="105" t="str">
        <v>Cashbrite Tip: If you are not sure where your money is going, track every spend for one week. Patterns become much easier to spot.</v>
      </c>
      <c r="D107" s="105" t="str">
        <v>Cashbrite Tip: If you are not sure where your money is going, track every spend for one week. Patterns become much easier to spot.</v>
      </c>
      <c r="E107" s="105" t="str">
        <v>Cashbrite Tip: If you are not sure where your money is going, track every spend for one week. Patterns become much easier to spot.</v>
      </c>
      <c r="F107" s="105" t="str">
        <v>Cashbrite Tip: If you are not sure where your money is going, track every spend for one week. Patterns become much easier to spot.</v>
      </c>
      <c r="G107" s="106" t="str">
        <v>Cashbrite Tip: If you are not sure where your money is going, track every spend for one week. Patterns become much easier to spot.</v>
      </c>
    </row>
    <row r="108">
      <c r="A108" s="107" t="str">
        <v>Cashbrite Tip: If you are not sure where your money is going, track every spend for one week. Patterns become much easier to spot.</v>
      </c>
      <c r="B108" s="108" t="str">
        <v>Cashbrite Tip: If you are not sure where your money is going, track every spend for one week. Patterns become much easier to spot.</v>
      </c>
      <c r="C108" s="108" t="str">
        <v>Cashbrite Tip: If you are not sure where your money is going, track every spend for one week. Patterns become much easier to spot.</v>
      </c>
      <c r="D108" s="108" t="str">
        <v>Cashbrite Tip: If you are not sure where your money is going, track every spend for one week. Patterns become much easier to spot.</v>
      </c>
      <c r="E108" s="108" t="str">
        <v>Cashbrite Tip: If you are not sure where your money is going, track every spend for one week. Patterns become much easier to spot.</v>
      </c>
      <c r="F108" s="108" t="str">
        <v>Cashbrite Tip: If you are not sure where your money is going, track every spend for one week. Patterns become much easier to spot.</v>
      </c>
      <c r="G108" s="109" t="str">
        <v>Cashbrite Tip: If you are not sure where your money is going, track every spend for one week. Patterns become much easier to spot.</v>
      </c>
    </row>
  </sheetData>
  <mergeCells>
    <mergeCell ref="A1:G1"/>
    <mergeCell ref="A2:G2"/>
    <mergeCell ref="A107:G108"/>
  </mergeCells>
  <dataValidations count="3">
    <dataValidation type="list" sqref="B5:B104">
      <formula1>"Food,Travel,Shopping,Entertainment,Bills,Education,Health,Other"</formula1>
    </dataValidation>
    <dataValidation type="list" sqref="E5:E104">
      <formula1>"Debit card,Cash,Bank transfer,Direct debit,Credit card,Other"</formula1>
    </dataValidation>
    <dataValidation type="list" sqref="F5:F104">
      <formula1>"Need,Want,Saving"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6" hidden="0" customWidth="1"/>
    <col min="2" max="2" width="16" hidden="0" customWidth="1"/>
    <col min="3" max="3" width="16" hidden="0" customWidth="1"/>
    <col min="4" max="4" width="16" hidden="0" customWidth="1"/>
    <col min="5" max="5" width="14" hidden="0" customWidth="1"/>
    <col min="6" max="6" width="18" hidden="0" customWidth="1"/>
  </cols>
  <sheetData>
    <row r="1" ht="34" customHeight="1">
      <c r="A1" s="5" t="str">
        <v>✦ Cashbrite Savings Goals</v>
      </c>
      <c r="B1" s="5" t="str">
        <v>✦ Cashbrite Savings Goals</v>
      </c>
      <c r="C1" s="5" t="str">
        <v>✦ Cashbrite Savings Goals</v>
      </c>
      <c r="D1" s="5" t="str">
        <v>✦ Cashbrite Savings Goals</v>
      </c>
      <c r="E1" s="5" t="str">
        <v>✦ Cashbrite Savings Goals</v>
      </c>
      <c r="F1" s="5" t="str">
        <v>✦ Cashbrite Savings Goals</v>
      </c>
    </row>
    <row r="2" ht="30" customHeight="1">
      <c r="A2" s="9" t="str">
        <v>Name your goal, set a target and track progress. Specific goals are easier to stick to.</v>
      </c>
      <c r="B2" s="9" t="str">
        <v>Name your goal, set a target and track progress. Specific goals are easier to stick to.</v>
      </c>
      <c r="C2" s="9" t="str">
        <v>Name your goal, set a target and track progress. Specific goals are easier to stick to.</v>
      </c>
      <c r="D2" s="9" t="str">
        <v>Name your goal, set a target and track progress. Specific goals are easier to stick to.</v>
      </c>
      <c r="E2" s="9" t="str">
        <v>Name your goal, set a target and track progress. Specific goals are easier to stick to.</v>
      </c>
      <c r="F2" s="9" t="str">
        <v>Name your goal, set a target and track progress. Specific goals are easier to stick to.</v>
      </c>
    </row>
    <row r="3">
      <c r="A3" s="73"/>
      <c r="B3" s="73"/>
      <c r="C3" s="73"/>
      <c r="D3" s="73"/>
      <c r="E3" s="73"/>
      <c r="F3" s="73"/>
    </row>
    <row r="4" ht="26" customHeight="1">
      <c r="A4" s="90" t="str">
        <v>Goal name</v>
      </c>
      <c r="B4" s="91" t="str">
        <v>Target amount</v>
      </c>
      <c r="C4" s="91" t="str">
        <v>Saved so far</v>
      </c>
      <c r="D4" s="91" t="str">
        <v>Remaining</v>
      </c>
      <c r="E4" s="91" t="str">
        <v>Progress</v>
      </c>
      <c r="F4" s="92" t="str">
        <v>Target date</v>
      </c>
    </row>
    <row r="5" ht="22" customHeight="1">
      <c r="A5" s="114"/>
      <c r="B5" s="95"/>
      <c r="C5" s="95"/>
      <c r="D5" s="111" t="n">
        <f>MAX(B5-C5,0)</f>
        <v>0</v>
      </c>
      <c r="E5" s="115" t="n">
        <f>IFERROR(C5/B5,0)</f>
        <v>0</v>
      </c>
      <c r="F5" s="110"/>
    </row>
    <row r="6" ht="22" customHeight="1">
      <c r="A6" s="114"/>
      <c r="B6" s="95"/>
      <c r="C6" s="95"/>
      <c r="D6" s="111" t="n">
        <f>MAX(B6-C6,0)</f>
        <v>0</v>
      </c>
      <c r="E6" s="115" t="n">
        <f>IFERROR(C6/B6,0)</f>
        <v>0</v>
      </c>
      <c r="F6" s="110"/>
    </row>
    <row r="7" ht="22" customHeight="1">
      <c r="A7" s="114"/>
      <c r="B7" s="95"/>
      <c r="C7" s="95"/>
      <c r="D7" s="111" t="n">
        <f>MAX(B7-C7,0)</f>
        <v>0</v>
      </c>
      <c r="E7" s="115" t="n">
        <f>IFERROR(C7/B7,0)</f>
        <v>0</v>
      </c>
      <c r="F7" s="110"/>
    </row>
    <row r="8" ht="22" customHeight="1">
      <c r="A8" s="114"/>
      <c r="B8" s="95"/>
      <c r="C8" s="95"/>
      <c r="D8" s="111" t="n">
        <f>MAX(B8-C8,0)</f>
        <v>0</v>
      </c>
      <c r="E8" s="115" t="n">
        <f>IFERROR(C8/B8,0)</f>
        <v>0</v>
      </c>
      <c r="F8" s="110"/>
    </row>
    <row r="9" ht="22" customHeight="1">
      <c r="A9" s="114"/>
      <c r="B9" s="95"/>
      <c r="C9" s="95"/>
      <c r="D9" s="111" t="n">
        <f>MAX(B9-C9,0)</f>
        <v>0</v>
      </c>
      <c r="E9" s="115" t="n">
        <f>IFERROR(C9/B9,0)</f>
        <v>0</v>
      </c>
      <c r="F9" s="110"/>
    </row>
    <row r="10" ht="22" customHeight="1">
      <c r="A10" s="114"/>
      <c r="B10" s="95"/>
      <c r="C10" s="95"/>
      <c r="D10" s="111" t="n">
        <f>MAX(B10-C10,0)</f>
        <v>0</v>
      </c>
      <c r="E10" s="115" t="n">
        <f>IFERROR(C10/B10,0)</f>
        <v>0</v>
      </c>
      <c r="F10" s="110"/>
    </row>
    <row r="11" ht="22" customHeight="1">
      <c r="A11" s="114"/>
      <c r="B11" s="95"/>
      <c r="C11" s="95"/>
      <c r="D11" s="111" t="n">
        <f>MAX(B11-C11,0)</f>
        <v>0</v>
      </c>
      <c r="E11" s="115" t="n">
        <f>IFERROR(C11/B11,0)</f>
        <v>0</v>
      </c>
      <c r="F11" s="110"/>
    </row>
    <row r="12" ht="22" customHeight="1">
      <c r="A12" s="114"/>
      <c r="B12" s="95"/>
      <c r="C12" s="95"/>
      <c r="D12" s="111" t="n">
        <f>MAX(B12-C12,0)</f>
        <v>0</v>
      </c>
      <c r="E12" s="115" t="n">
        <f>IFERROR(C12/B12,0)</f>
        <v>0</v>
      </c>
      <c r="F12" s="110"/>
    </row>
    <row r="13" ht="22" customHeight="1">
      <c r="A13" s="114"/>
      <c r="B13" s="95"/>
      <c r="C13" s="95"/>
      <c r="D13" s="111" t="n">
        <f>MAX(B13-C13,0)</f>
        <v>0</v>
      </c>
      <c r="E13" s="115" t="n">
        <f>IFERROR(C13/B13,0)</f>
        <v>0</v>
      </c>
      <c r="F13" s="110"/>
    </row>
    <row r="14" ht="22" customHeight="1">
      <c r="A14" s="114"/>
      <c r="B14" s="95"/>
      <c r="C14" s="95"/>
      <c r="D14" s="111" t="n">
        <f>MAX(B14-C14,0)</f>
        <v>0</v>
      </c>
      <c r="E14" s="115" t="n">
        <f>IFERROR(C14/B14,0)</f>
        <v>0</v>
      </c>
      <c r="F14" s="110"/>
    </row>
    <row r="15" ht="22" customHeight="1">
      <c r="A15" s="114"/>
      <c r="B15" s="95"/>
      <c r="C15" s="95"/>
      <c r="D15" s="111" t="n">
        <f>MAX(B15-C15,0)</f>
        <v>0</v>
      </c>
      <c r="E15" s="115" t="n">
        <f>IFERROR(C15/B15,0)</f>
        <v>0</v>
      </c>
      <c r="F15" s="110"/>
    </row>
    <row r="16" ht="22" customHeight="1">
      <c r="A16" s="114"/>
      <c r="B16" s="95"/>
      <c r="C16" s="95"/>
      <c r="D16" s="111" t="n">
        <f>MAX(B16-C16,0)</f>
        <v>0</v>
      </c>
      <c r="E16" s="115" t="n">
        <f>IFERROR(C16/B16,0)</f>
        <v>0</v>
      </c>
      <c r="F16" s="110"/>
    </row>
    <row r="17" ht="22" customHeight="1">
      <c r="A17" s="114"/>
      <c r="B17" s="95"/>
      <c r="C17" s="95"/>
      <c r="D17" s="111" t="n">
        <f>MAX(B17-C17,0)</f>
        <v>0</v>
      </c>
      <c r="E17" s="115" t="n">
        <f>IFERROR(C17/B17,0)</f>
        <v>0</v>
      </c>
      <c r="F17" s="110"/>
    </row>
    <row r="18" ht="22" customHeight="1">
      <c r="A18" s="114"/>
      <c r="B18" s="95"/>
      <c r="C18" s="95"/>
      <c r="D18" s="111" t="n">
        <f>MAX(B18-C18,0)</f>
        <v>0</v>
      </c>
      <c r="E18" s="115" t="n">
        <f>IFERROR(C18/B18,0)</f>
        <v>0</v>
      </c>
      <c r="F18" s="110"/>
    </row>
    <row r="19" ht="22" customHeight="1">
      <c r="A19" s="114"/>
      <c r="B19" s="95"/>
      <c r="C19" s="95"/>
      <c r="D19" s="111" t="n">
        <f>MAX(B19-C19,0)</f>
        <v>0</v>
      </c>
      <c r="E19" s="115" t="n">
        <f>IFERROR(C19/B19,0)</f>
        <v>0</v>
      </c>
      <c r="F19" s="110"/>
    </row>
    <row r="20" ht="22" customHeight="1">
      <c r="A20" s="114"/>
      <c r="B20" s="95"/>
      <c r="C20" s="95"/>
      <c r="D20" s="111" t="n">
        <f>MAX(B20-C20,0)</f>
        <v>0</v>
      </c>
      <c r="E20" s="115" t="n">
        <f>IFERROR(C20/B20,0)</f>
        <v>0</v>
      </c>
      <c r="F20" s="110"/>
    </row>
    <row r="21" ht="22" customHeight="1">
      <c r="A21" s="114"/>
      <c r="B21" s="95"/>
      <c r="C21" s="95"/>
      <c r="D21" s="111" t="n">
        <f>MAX(B21-C21,0)</f>
        <v>0</v>
      </c>
      <c r="E21" s="115" t="n">
        <f>IFERROR(C21/B21,0)</f>
        <v>0</v>
      </c>
      <c r="F21" s="110"/>
    </row>
    <row r="22" ht="22" customHeight="1">
      <c r="A22" s="114"/>
      <c r="B22" s="95"/>
      <c r="C22" s="95"/>
      <c r="D22" s="111" t="n">
        <f>MAX(B22-C22,0)</f>
        <v>0</v>
      </c>
      <c r="E22" s="115" t="n">
        <f>IFERROR(C22/B22,0)</f>
        <v>0</v>
      </c>
      <c r="F22" s="110"/>
    </row>
    <row r="23" ht="22" customHeight="1">
      <c r="A23" s="114"/>
      <c r="B23" s="95"/>
      <c r="C23" s="95"/>
      <c r="D23" s="111" t="n">
        <f>MAX(B23-C23,0)</f>
        <v>0</v>
      </c>
      <c r="E23" s="115" t="n">
        <f>IFERROR(C23/B23,0)</f>
        <v>0</v>
      </c>
      <c r="F23" s="110"/>
    </row>
    <row r="24" ht="22" customHeight="1">
      <c r="A24" s="114"/>
      <c r="B24" s="95"/>
      <c r="C24" s="95"/>
      <c r="D24" s="111" t="n">
        <f>MAX(B24-C24,0)</f>
        <v>0</v>
      </c>
      <c r="E24" s="115" t="n">
        <f>IFERROR(C24/B24,0)</f>
        <v>0</v>
      </c>
      <c r="F24" s="110"/>
    </row>
    <row r="25">
      <c r="A25" s="73"/>
      <c r="B25" s="73"/>
      <c r="C25" s="73"/>
      <c r="D25" s="73"/>
      <c r="E25" s="73"/>
      <c r="F25" s="73"/>
    </row>
    <row r="26">
      <c r="A26" s="73"/>
      <c r="B26" s="73"/>
      <c r="C26" s="73"/>
      <c r="D26" s="73"/>
      <c r="E26" s="73"/>
      <c r="F26" s="73"/>
    </row>
    <row r="27">
      <c r="A27" s="104" t="str">
        <v>Cashbrite Tip: Set a small automatic transfer after money arrives. Saving first makes it easier to avoid spending everything by accident.</v>
      </c>
      <c r="B27" s="105" t="str">
        <v>Cashbrite Tip: Set a small automatic transfer after money arrives. Saving first makes it easier to avoid spending everything by accident.</v>
      </c>
      <c r="C27" s="105" t="str">
        <v>Cashbrite Tip: Set a small automatic transfer after money arrives. Saving first makes it easier to avoid spending everything by accident.</v>
      </c>
      <c r="D27" s="105" t="str">
        <v>Cashbrite Tip: Set a small automatic transfer after money arrives. Saving first makes it easier to avoid spending everything by accident.</v>
      </c>
      <c r="E27" s="105" t="str">
        <v>Cashbrite Tip: Set a small automatic transfer after money arrives. Saving first makes it easier to avoid spending everything by accident.</v>
      </c>
      <c r="F27" s="106" t="str">
        <v>Cashbrite Tip: Set a small automatic transfer after money arrives. Saving first makes it easier to avoid spending everything by accident.</v>
      </c>
    </row>
    <row r="28">
      <c r="A28" s="107" t="str">
        <v>Cashbrite Tip: Set a small automatic transfer after money arrives. Saving first makes it easier to avoid spending everything by accident.</v>
      </c>
      <c r="B28" s="108" t="str">
        <v>Cashbrite Tip: Set a small automatic transfer after money arrives. Saving first makes it easier to avoid spending everything by accident.</v>
      </c>
      <c r="C28" s="108" t="str">
        <v>Cashbrite Tip: Set a small automatic transfer after money arrives. Saving first makes it easier to avoid spending everything by accident.</v>
      </c>
      <c r="D28" s="108" t="str">
        <v>Cashbrite Tip: Set a small automatic transfer after money arrives. Saving first makes it easier to avoid spending everything by accident.</v>
      </c>
      <c r="E28" s="108" t="str">
        <v>Cashbrite Tip: Set a small automatic transfer after money arrives. Saving first makes it easier to avoid spending everything by accident.</v>
      </c>
      <c r="F28" s="109" t="str">
        <v>Cashbrite Tip: Set a small automatic transfer after money arrives. Saving first makes it easier to avoid spending everything by accident.</v>
      </c>
    </row>
  </sheetData>
  <mergeCells>
    <mergeCell ref="A1:F1"/>
    <mergeCell ref="A2:F2"/>
    <mergeCell ref="A27:F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22" hidden="0" customWidth="1"/>
    <col min="2" max="2" width="18" hidden="0" customWidth="1"/>
    <col min="3" max="3" width="4" hidden="0" customWidth="1"/>
    <col min="4" max="4" width="22" hidden="0" customWidth="1"/>
    <col min="5" max="5" width="18" hidden="0" customWidth="1"/>
    <col min="6" max="6" width="4" hidden="0" customWidth="1"/>
    <col min="7" max="7" width="22" hidden="0" customWidth="1"/>
    <col min="8" max="8" width="18" hidden="0" customWidth="1"/>
  </cols>
  <sheetData>
    <row r="1" ht="34" customHeight="1">
      <c r="A1" s="5" t="str">
        <v>✦ Cashbrite Budget Dashboard</v>
      </c>
      <c r="B1" s="5" t="str">
        <v>✦ Cashbrite Budget Dashboard</v>
      </c>
      <c r="C1" s="5" t="str">
        <v>✦ Cashbrite Budget Dashboard</v>
      </c>
      <c r="D1" s="5" t="str">
        <v>✦ Cashbrite Budget Dashboard</v>
      </c>
      <c r="E1" s="5" t="str">
        <v>✦ Cashbrite Budget Dashboard</v>
      </c>
      <c r="F1" s="5" t="str">
        <v>✦ Cashbrite Budget Dashboard</v>
      </c>
      <c r="G1" s="5" t="str">
        <v>✦ Cashbrite Budget Dashboard</v>
      </c>
      <c r="H1" s="5" t="str">
        <v>✦ Cashbrite Budget Dashboard</v>
      </c>
    </row>
    <row r="2" ht="30" customHeight="1">
      <c r="A2" s="9" t="str">
        <v>Your quick monthly money snapshot. Update the other tabs and the dashboard will refresh.</v>
      </c>
      <c r="B2" s="9" t="str">
        <v>Your quick monthly money snapshot. Update the other tabs and the dashboard will refresh.</v>
      </c>
      <c r="C2" s="9" t="str">
        <v>Your quick monthly money snapshot. Update the other tabs and the dashboard will refresh.</v>
      </c>
      <c r="D2" s="9" t="str">
        <v>Your quick monthly money snapshot. Update the other tabs and the dashboard will refresh.</v>
      </c>
      <c r="E2" s="9" t="str">
        <v>Your quick monthly money snapshot. Update the other tabs and the dashboard will refresh.</v>
      </c>
      <c r="F2" s="9" t="str">
        <v>Your quick monthly money snapshot. Update the other tabs and the dashboard will refresh.</v>
      </c>
      <c r="G2" s="9" t="str">
        <v>Your quick monthly money snapshot. Update the other tabs and the dashboard will refresh.</v>
      </c>
      <c r="H2" s="9" t="str">
        <v>Your quick monthly money snapshot. Update the other tabs and the dashboard will refresh.</v>
      </c>
    </row>
    <row r="3">
      <c r="A3" s="73"/>
      <c r="B3" s="73"/>
      <c r="C3" s="73"/>
      <c r="D3" s="73"/>
      <c r="E3" s="73"/>
      <c r="F3" s="73"/>
      <c r="G3" s="73"/>
      <c r="H3" s="73"/>
    </row>
    <row r="4">
      <c r="A4" s="123" t="str">
        <v>Total Income</v>
      </c>
      <c r="B4" s="123" t="str">
        <v>Total Income</v>
      </c>
      <c r="C4" s="73"/>
      <c r="D4" s="123" t="str">
        <v>Total Spending</v>
      </c>
      <c r="E4" s="123" t="str">
        <v>Total Spending</v>
      </c>
      <c r="F4" s="73"/>
      <c r="G4" s="123" t="str">
        <v>Total Saved</v>
      </c>
      <c r="H4" s="123" t="str">
        <v>Total Saved</v>
      </c>
    </row>
    <row r="5">
      <c r="A5" s="124"/>
      <c r="B5" s="125" t="n">
        <f>'Monthly Budget'!C36</f>
        <v>0</v>
      </c>
      <c r="C5" s="73"/>
      <c r="D5" s="124"/>
      <c r="E5" s="125" t="n">
        <f>'Monthly Budget'!C37+'Monthly Budget'!C38</f>
        <v>0</v>
      </c>
      <c r="F5" s="73"/>
      <c r="G5" s="124"/>
      <c r="H5" s="125" t="n">
        <f>'Monthly Budget'!C39</f>
        <v>0</v>
      </c>
    </row>
    <row r="6">
      <c r="A6" s="73"/>
      <c r="B6" s="73"/>
      <c r="C6" s="73"/>
      <c r="D6" s="73"/>
      <c r="E6" s="73"/>
      <c r="F6" s="73"/>
      <c r="G6" s="73"/>
      <c r="H6" s="73"/>
    </row>
    <row r="7">
      <c r="A7" s="123" t="str">
        <v>Remaining Balance</v>
      </c>
      <c r="B7" s="123" t="str">
        <v>Remaining Balance</v>
      </c>
      <c r="C7" s="73"/>
      <c r="D7" s="123" t="str">
        <v>Savings Progress</v>
      </c>
      <c r="E7" s="123" t="str">
        <v>Savings Progress</v>
      </c>
      <c r="F7" s="73"/>
      <c r="G7" s="123" t="str">
        <v>Next Check-in</v>
      </c>
      <c r="H7" s="123" t="str">
        <v>Next Check-in</v>
      </c>
    </row>
    <row r="8">
      <c r="A8" s="124"/>
      <c r="B8" s="125" t="n">
        <f>'Monthly Budget'!C40</f>
        <v>0</v>
      </c>
      <c r="C8" s="73"/>
      <c r="D8" s="124"/>
      <c r="E8" s="126" t="n">
        <f>IFERROR(SUM('Savings Goals'!C5:C24)/SUM('Savings Goals'!B5:B24),0)</f>
        <v>0</v>
      </c>
      <c r="F8" s="73"/>
      <c r="G8" s="124"/>
      <c r="H8" s="127" t="n">
        <f>TODAY()+7</f>
        <v>46205</v>
      </c>
    </row>
    <row r="9">
      <c r="A9" s="73"/>
      <c r="B9" s="73"/>
      <c r="C9" s="73"/>
      <c r="D9" s="73"/>
      <c r="E9" s="73"/>
      <c r="F9" s="73"/>
      <c r="G9" s="73"/>
      <c r="H9" s="73"/>
    </row>
    <row r="10">
      <c r="A10" s="73"/>
      <c r="B10" s="73"/>
      <c r="C10" s="73"/>
      <c r="D10" s="73"/>
      <c r="E10" s="73"/>
      <c r="F10" s="73"/>
      <c r="G10" s="73"/>
      <c r="H10" s="73"/>
    </row>
    <row r="11" ht="24" customHeight="1">
      <c r="A11" s="74" t="str">
        <v>Spending by category</v>
      </c>
      <c r="B11" s="74" t="str">
        <v>Spending by category</v>
      </c>
      <c r="C11" s="73"/>
      <c r="D11" s="74" t="str">
        <v>Cashbrite Money Check-In</v>
      </c>
      <c r="E11" s="74" t="str">
        <v>Cashbrite Money Check-In</v>
      </c>
      <c r="F11" s="74" t="str">
        <v>Cashbrite Money Check-In</v>
      </c>
      <c r="G11" s="74" t="str">
        <v>Cashbrite Money Check-In</v>
      </c>
      <c r="H11" s="74" t="str">
        <v>Cashbrite Money Check-In</v>
      </c>
    </row>
    <row r="12" ht="28" customHeight="1">
      <c r="A12" s="90" t="str">
        <v>Category</v>
      </c>
      <c r="B12" s="92" t="str">
        <v>Amount</v>
      </c>
      <c r="C12" s="73"/>
      <c r="D12" s="128" t="str">
        <v>1</v>
      </c>
      <c r="E12" s="94" t="str">
        <v>What did I spend the most on this week?</v>
      </c>
      <c r="F12" s="94"/>
      <c r="G12" s="94"/>
      <c r="H12" s="94"/>
    </row>
    <row r="13" ht="28" customHeight="1">
      <c r="A13" s="76" t="str">
        <v>Food</v>
      </c>
      <c r="B13" s="111" t="n">
        <f>SUMIF('Spending Tracker'!$B$5:$B$104,A13,'Spending Tracker'!$D$5:$D$104)</f>
        <v>0</v>
      </c>
      <c r="C13" s="73"/>
      <c r="D13" s="128" t="str">
        <v>2</v>
      </c>
      <c r="E13" s="94" t="str">
        <v>Did I save before spending?</v>
      </c>
      <c r="F13" s="94"/>
      <c r="G13" s="94"/>
      <c r="H13" s="94"/>
    </row>
    <row r="14" ht="28" customHeight="1">
      <c r="A14" s="76" t="str">
        <v>Travel</v>
      </c>
      <c r="B14" s="111" t="n">
        <f>SUMIF('Spending Tracker'!$B$5:$B$104,A14,'Spending Tracker'!$D$5:$D$104)</f>
        <v>0</v>
      </c>
      <c r="C14" s="73"/>
      <c r="D14" s="128" t="str">
        <v>3</v>
      </c>
      <c r="E14" s="94" t="str">
        <v>Is anything due before I next get money?</v>
      </c>
      <c r="F14" s="94"/>
      <c r="G14" s="94"/>
      <c r="H14" s="94"/>
    </row>
    <row r="15" ht="28" customHeight="1">
      <c r="A15" s="76" t="str">
        <v>Shopping</v>
      </c>
      <c r="B15" s="111" t="n">
        <f>SUMIF('Spending Tracker'!$B$5:$B$104,A15,'Spending Tracker'!$D$5:$D$104)</f>
        <v>0</v>
      </c>
      <c r="C15" s="73"/>
      <c r="D15" s="128" t="str">
        <v>4</v>
      </c>
      <c r="E15" s="94" t="str">
        <v>What is one small change for next week?</v>
      </c>
      <c r="F15" s="94"/>
      <c r="G15" s="94"/>
      <c r="H15" s="94"/>
    </row>
    <row r="16" ht="28" customHeight="1">
      <c r="A16" s="76" t="str">
        <v>Entertainment</v>
      </c>
      <c r="B16" s="111" t="n">
        <f>SUMIF('Spending Tracker'!$B$5:$B$104,A16,'Spending Tracker'!$D$5:$D$104)</f>
        <v>0</v>
      </c>
      <c r="C16" s="73"/>
      <c r="D16" s="129" t="str">
        <v>Quick win</v>
      </c>
      <c r="E16" s="94" t="str">
        <v>Review your spending every Sunday for 5 minutes.</v>
      </c>
      <c r="F16" s="94"/>
      <c r="G16" s="94"/>
      <c r="H16" s="94"/>
    </row>
    <row r="17" ht="28" customHeight="1">
      <c r="A17" s="76" t="str">
        <v>Bills</v>
      </c>
      <c r="B17" s="111" t="n">
        <f>SUMIF('Spending Tracker'!$B$5:$B$104,A17,'Spending Tracker'!$D$5:$D$104)</f>
        <v>0</v>
      </c>
      <c r="C17" s="73"/>
      <c r="D17" s="129" t="str">
        <v>Remember</v>
      </c>
      <c r="E17" s="94" t="str">
        <v>Small check-ins help you make calmer money decisions.</v>
      </c>
      <c r="F17" s="94"/>
      <c r="G17" s="94"/>
      <c r="H17" s="94"/>
    </row>
    <row r="18" ht="28" customHeight="1">
      <c r="A18" s="76" t="str">
        <v>Education</v>
      </c>
      <c r="B18" s="111" t="n">
        <f>SUMIF('Spending Tracker'!$B$5:$B$104,A18,'Spending Tracker'!$D$5:$D$104)</f>
        <v>0</v>
      </c>
      <c r="C18" s="73"/>
      <c r="D18" s="129" t="str">
        <v>Tip</v>
      </c>
      <c r="E18" s="94" t="str">
        <v>Progress matters more than perfection.</v>
      </c>
      <c r="F18" s="94"/>
      <c r="G18" s="94"/>
      <c r="H18" s="94"/>
    </row>
    <row r="19" ht="22" customHeight="1">
      <c r="A19" s="76" t="str">
        <v>Health</v>
      </c>
      <c r="B19" s="111" t="n">
        <f>SUMIF('Spending Tracker'!$B$5:$B$104,A19,'Spending Tracker'!$D$5:$D$104)</f>
        <v>0</v>
      </c>
      <c r="C19" s="73"/>
      <c r="D19" s="73"/>
      <c r="E19" s="73"/>
      <c r="F19" s="73"/>
      <c r="G19" s="73"/>
      <c r="H19" s="73"/>
    </row>
    <row r="20" ht="22" customHeight="1">
      <c r="A20" s="76" t="str">
        <v>Other</v>
      </c>
      <c r="B20" s="111" t="n">
        <f>SUMIF('Spending Tracker'!$B$5:$B$104,A20,'Spending Tracker'!$D$5:$D$104)</f>
        <v>0</v>
      </c>
      <c r="C20" s="73"/>
      <c r="D20" s="73"/>
      <c r="E20" s="73"/>
      <c r="F20" s="73"/>
      <c r="G20" s="73"/>
      <c r="H20" s="73"/>
    </row>
  </sheetData>
  <mergeCells>
    <mergeCell ref="A1:H1"/>
    <mergeCell ref="A2:H2"/>
    <mergeCell ref="A4:B4"/>
    <mergeCell ref="D4:E4"/>
    <mergeCell ref="G4:H4"/>
    <mergeCell ref="A7:B7"/>
    <mergeCell ref="D7:E7"/>
    <mergeCell ref="G7:H7"/>
    <mergeCell ref="A11:B11"/>
    <mergeCell ref="D11:H11"/>
    <mergeCell ref="E12:H12"/>
    <mergeCell ref="E13:H13"/>
    <mergeCell ref="E14:H14"/>
    <mergeCell ref="E15:H15"/>
    <mergeCell ref="E16:H16"/>
    <mergeCell ref="E17:H17"/>
    <mergeCell ref="E18:H18"/>
  </mergeCells>
  <pageMargins left="0.7" right="0.7" top="0.75" bottom="0.75" header="0.3" footer="0.3"/>
</worksheet>
</file>